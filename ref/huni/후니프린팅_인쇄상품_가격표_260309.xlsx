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Dev\huniprinting\ref\huni\"/>
    </mc:Choice>
  </mc:AlternateContent>
  <xr:revisionPtr revIDLastSave="0" documentId="11_75F58C79A690AE40D6A0A387FD78F4B46724C986" xr6:coauthVersionLast="47" xr6:coauthVersionMax="47" xr10:uidLastSave="{00000000-0000-0000-0000-000000000000}"/>
  <bookViews>
    <workbookView xWindow="4200" yWindow="1545" windowWidth="38700" windowHeight="15345" xr2:uid="{00000000-000D-0000-FFFF-FFFF00000000}"/>
  </bookViews>
  <sheets>
    <sheet name="사이즈별 판걸이수" sheetId="1" r:id="rId1"/>
    <sheet name="디지털출력비" sheetId="2" r:id="rId2"/>
    <sheet name="후가공_박" sheetId="3" r:id="rId3"/>
    <sheet name="후가공" sheetId="4" r:id="rId4"/>
    <sheet name="명함" sheetId="5" r:id="rId5"/>
    <sheet name="후가공_박명함" sheetId="6" r:id="rId6"/>
    <sheet name="옵션결합상품" sheetId="7" r:id="rId7"/>
    <sheet name="제본" sheetId="8" r:id="rId8"/>
    <sheet name="스티커" sheetId="9" r:id="rId9"/>
    <sheet name="아크릴" sheetId="10" r:id="rId10"/>
    <sheet name="포스터(실사)" sheetId="11" r:id="rId11"/>
    <sheet name="사인" sheetId="12" r:id="rId12"/>
    <sheet name="(임시)포카가격비교" sheetId="13" r:id="rId13"/>
    <sheet name="파우치" sheetId="14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8" roundtripDataChecksum="btdF89EbmCl9g4VeCXWZW2ZD0HruNkTsD7cC+Qszbf8="/>
    </ext>
  </extLst>
</workbook>
</file>

<file path=xl/calcChain.xml><?xml version="1.0" encoding="utf-8"?>
<calcChain xmlns="http://schemas.openxmlformats.org/spreadsheetml/2006/main">
  <c r="G87" i="14" l="1"/>
  <c r="G86" i="14"/>
  <c r="G85" i="14"/>
  <c r="G84" i="14"/>
  <c r="P83" i="14"/>
  <c r="O83" i="14"/>
  <c r="N83" i="14"/>
  <c r="M83" i="14"/>
  <c r="L83" i="14"/>
  <c r="G83" i="14"/>
  <c r="P82" i="14"/>
  <c r="O82" i="14"/>
  <c r="N82" i="14"/>
  <c r="M82" i="14"/>
  <c r="L82" i="14"/>
  <c r="G82" i="14"/>
  <c r="P81" i="14"/>
  <c r="O81" i="14"/>
  <c r="N81" i="14"/>
  <c r="M81" i="14"/>
  <c r="L81" i="14"/>
  <c r="G81" i="14"/>
  <c r="P80" i="14"/>
  <c r="O80" i="14"/>
  <c r="N80" i="14"/>
  <c r="M80" i="14"/>
  <c r="L80" i="14"/>
  <c r="G80" i="14"/>
  <c r="P79" i="14"/>
  <c r="O79" i="14"/>
  <c r="N79" i="14"/>
  <c r="M79" i="14"/>
  <c r="L79" i="14"/>
  <c r="G79" i="14"/>
  <c r="P78" i="14"/>
  <c r="O78" i="14"/>
  <c r="N78" i="14"/>
  <c r="M78" i="14"/>
  <c r="L78" i="14"/>
  <c r="G78" i="14"/>
  <c r="P77" i="14"/>
  <c r="O77" i="14"/>
  <c r="N77" i="14"/>
  <c r="M77" i="14"/>
  <c r="L77" i="14"/>
  <c r="G77" i="14"/>
  <c r="P76" i="14"/>
  <c r="O76" i="14"/>
  <c r="N76" i="14"/>
  <c r="M76" i="14"/>
  <c r="L76" i="14"/>
  <c r="G76" i="14"/>
  <c r="P75" i="14"/>
  <c r="O75" i="14"/>
  <c r="N75" i="14"/>
  <c r="M75" i="14"/>
  <c r="L75" i="14"/>
  <c r="G75" i="14"/>
  <c r="P74" i="14"/>
  <c r="O74" i="14"/>
  <c r="N74" i="14"/>
  <c r="M74" i="14"/>
  <c r="L74" i="14"/>
  <c r="G74" i="14"/>
  <c r="P73" i="14"/>
  <c r="O73" i="14"/>
  <c r="N73" i="14"/>
  <c r="M73" i="14"/>
  <c r="L73" i="14"/>
  <c r="G73" i="14"/>
  <c r="P72" i="14"/>
  <c r="O72" i="14"/>
  <c r="N72" i="14"/>
  <c r="M72" i="14"/>
  <c r="G72" i="14"/>
  <c r="P71" i="14"/>
  <c r="O71" i="14"/>
  <c r="N71" i="14"/>
  <c r="M71" i="14"/>
  <c r="L71" i="14"/>
  <c r="G71" i="14"/>
  <c r="P70" i="14"/>
  <c r="O70" i="14"/>
  <c r="N70" i="14"/>
  <c r="M70" i="14"/>
  <c r="L70" i="14"/>
  <c r="G70" i="14"/>
  <c r="P69" i="14"/>
  <c r="O69" i="14"/>
  <c r="N69" i="14"/>
  <c r="M69" i="14"/>
  <c r="G69" i="14"/>
  <c r="P68" i="14"/>
  <c r="O68" i="14"/>
  <c r="N68" i="14"/>
  <c r="M68" i="14"/>
  <c r="L68" i="14"/>
  <c r="G68" i="14"/>
  <c r="P67" i="14"/>
  <c r="O67" i="14"/>
  <c r="N67" i="14"/>
  <c r="M67" i="14"/>
  <c r="L67" i="14"/>
  <c r="G67" i="14"/>
  <c r="P66" i="14"/>
  <c r="O66" i="14"/>
  <c r="N66" i="14"/>
  <c r="M66" i="14"/>
  <c r="L66" i="14"/>
  <c r="G66" i="14"/>
  <c r="P65" i="14"/>
  <c r="O65" i="14"/>
  <c r="N65" i="14"/>
  <c r="M65" i="14"/>
  <c r="L65" i="14"/>
  <c r="G65" i="14"/>
  <c r="P64" i="14"/>
  <c r="O64" i="14"/>
  <c r="N64" i="14"/>
  <c r="M64" i="14"/>
  <c r="L64" i="14"/>
  <c r="G64" i="14"/>
  <c r="P63" i="14"/>
  <c r="O63" i="14"/>
  <c r="N63" i="14"/>
  <c r="M63" i="14"/>
  <c r="L63" i="14"/>
  <c r="G63" i="14"/>
  <c r="P62" i="14"/>
  <c r="O62" i="14"/>
  <c r="N62" i="14"/>
  <c r="M62" i="14"/>
  <c r="L62" i="14"/>
  <c r="G62" i="14"/>
  <c r="G61" i="14"/>
  <c r="P60" i="14"/>
  <c r="O60" i="14"/>
  <c r="N60" i="14"/>
  <c r="M60" i="14"/>
  <c r="L60" i="14"/>
  <c r="G60" i="14"/>
  <c r="G59" i="14"/>
  <c r="P58" i="14"/>
  <c r="O58" i="14"/>
  <c r="N58" i="14"/>
  <c r="M58" i="14"/>
  <c r="L58" i="14"/>
  <c r="G58" i="14"/>
  <c r="P57" i="14"/>
  <c r="O57" i="14"/>
  <c r="N57" i="14"/>
  <c r="M57" i="14"/>
  <c r="L57" i="14"/>
  <c r="G57" i="14"/>
  <c r="P56" i="14"/>
  <c r="O56" i="14"/>
  <c r="N56" i="14"/>
  <c r="M56" i="14"/>
  <c r="L56" i="14"/>
  <c r="G56" i="14"/>
  <c r="P55" i="14"/>
  <c r="O55" i="14"/>
  <c r="N55" i="14"/>
  <c r="M55" i="14"/>
  <c r="L55" i="14"/>
  <c r="G55" i="14"/>
  <c r="P54" i="14"/>
  <c r="O54" i="14"/>
  <c r="N54" i="14"/>
  <c r="M54" i="14"/>
  <c r="L54" i="14"/>
  <c r="G54" i="14"/>
  <c r="P53" i="14"/>
  <c r="O53" i="14"/>
  <c r="N53" i="14"/>
  <c r="M53" i="14"/>
  <c r="L53" i="14"/>
  <c r="G53" i="14"/>
  <c r="P52" i="14"/>
  <c r="O52" i="14"/>
  <c r="N52" i="14"/>
  <c r="M52" i="14"/>
  <c r="L52" i="14"/>
  <c r="G52" i="14"/>
  <c r="P51" i="14"/>
  <c r="O51" i="14"/>
  <c r="N51" i="14"/>
  <c r="M51" i="14"/>
  <c r="L51" i="14"/>
  <c r="G51" i="14"/>
  <c r="P50" i="14"/>
  <c r="O50" i="14"/>
  <c r="N50" i="14"/>
  <c r="M50" i="14"/>
  <c r="L50" i="14"/>
  <c r="G50" i="14"/>
  <c r="P49" i="14"/>
  <c r="O49" i="14"/>
  <c r="N49" i="14"/>
  <c r="M49" i="14"/>
  <c r="L49" i="14"/>
  <c r="G49" i="14"/>
  <c r="P48" i="14"/>
  <c r="O48" i="14"/>
  <c r="N48" i="14"/>
  <c r="M48" i="14"/>
  <c r="L48" i="14"/>
  <c r="G48" i="14"/>
  <c r="P47" i="14"/>
  <c r="O47" i="14"/>
  <c r="N47" i="14"/>
  <c r="M47" i="14"/>
  <c r="L47" i="14"/>
  <c r="G47" i="14"/>
  <c r="P46" i="14"/>
  <c r="O46" i="14"/>
  <c r="N46" i="14"/>
  <c r="M46" i="14"/>
  <c r="L46" i="14"/>
  <c r="G46" i="14"/>
  <c r="P45" i="14"/>
  <c r="O45" i="14"/>
  <c r="N45" i="14"/>
  <c r="M45" i="14"/>
  <c r="L45" i="14"/>
  <c r="G45" i="14"/>
  <c r="P44" i="14"/>
  <c r="O44" i="14"/>
  <c r="N44" i="14"/>
  <c r="M44" i="14"/>
  <c r="L44" i="14"/>
  <c r="G44" i="14"/>
  <c r="P43" i="14"/>
  <c r="O43" i="14"/>
  <c r="N43" i="14"/>
  <c r="M43" i="14"/>
  <c r="L43" i="14"/>
  <c r="G43" i="14"/>
  <c r="P42" i="14"/>
  <c r="O42" i="14"/>
  <c r="N42" i="14"/>
  <c r="M42" i="14"/>
  <c r="L42" i="14"/>
  <c r="G42" i="14"/>
  <c r="P41" i="14"/>
  <c r="O41" i="14"/>
  <c r="N41" i="14"/>
  <c r="M41" i="14"/>
  <c r="L41" i="14"/>
  <c r="G41" i="14"/>
  <c r="P40" i="14"/>
  <c r="O40" i="14"/>
  <c r="N40" i="14"/>
  <c r="M40" i="14"/>
  <c r="L40" i="14"/>
  <c r="G40" i="14"/>
  <c r="P39" i="14"/>
  <c r="O39" i="14"/>
  <c r="N39" i="14"/>
  <c r="M39" i="14"/>
  <c r="L39" i="14"/>
  <c r="G39" i="14"/>
  <c r="P38" i="14"/>
  <c r="O38" i="14"/>
  <c r="N38" i="14"/>
  <c r="M38" i="14"/>
  <c r="L38" i="14"/>
  <c r="G38" i="14"/>
  <c r="P37" i="14"/>
  <c r="O37" i="14"/>
  <c r="N37" i="14"/>
  <c r="M37" i="14"/>
  <c r="L37" i="14"/>
  <c r="G37" i="14"/>
  <c r="P36" i="14"/>
  <c r="O36" i="14"/>
  <c r="N36" i="14"/>
  <c r="M36" i="14"/>
  <c r="L36" i="14"/>
  <c r="G36" i="14"/>
  <c r="P35" i="14"/>
  <c r="O35" i="14"/>
  <c r="N35" i="14"/>
  <c r="M35" i="14"/>
  <c r="L35" i="14"/>
  <c r="G35" i="14"/>
  <c r="P34" i="14"/>
  <c r="O34" i="14"/>
  <c r="N34" i="14"/>
  <c r="M34" i="14"/>
  <c r="L34" i="14"/>
  <c r="G34" i="14"/>
  <c r="P33" i="14"/>
  <c r="O33" i="14"/>
  <c r="N33" i="14"/>
  <c r="M33" i="14"/>
  <c r="L33" i="14"/>
  <c r="G33" i="14"/>
  <c r="P32" i="14"/>
  <c r="O32" i="14"/>
  <c r="N32" i="14"/>
  <c r="M32" i="14"/>
  <c r="L32" i="14"/>
  <c r="G32" i="14"/>
  <c r="P31" i="14"/>
  <c r="O31" i="14"/>
  <c r="N31" i="14"/>
  <c r="M31" i="14"/>
  <c r="L31" i="14"/>
  <c r="G31" i="14"/>
  <c r="P30" i="14"/>
  <c r="O30" i="14"/>
  <c r="N30" i="14"/>
  <c r="M30" i="14"/>
  <c r="L30" i="14"/>
  <c r="G30" i="14"/>
  <c r="P29" i="14"/>
  <c r="O29" i="14"/>
  <c r="N29" i="14"/>
  <c r="M29" i="14"/>
  <c r="L29" i="14"/>
  <c r="G29" i="14"/>
  <c r="P28" i="14"/>
  <c r="O28" i="14"/>
  <c r="N28" i="14"/>
  <c r="M28" i="14"/>
  <c r="G28" i="14"/>
  <c r="P27" i="14"/>
  <c r="O27" i="14"/>
  <c r="N27" i="14"/>
  <c r="M27" i="14"/>
  <c r="L27" i="14"/>
  <c r="G27" i="14"/>
  <c r="P26" i="14"/>
  <c r="O26" i="14"/>
  <c r="N26" i="14"/>
  <c r="M26" i="14"/>
  <c r="L26" i="14"/>
  <c r="G26" i="14"/>
  <c r="P25" i="14"/>
  <c r="O25" i="14"/>
  <c r="N25" i="14"/>
  <c r="M25" i="14"/>
  <c r="G25" i="14"/>
  <c r="P24" i="14"/>
  <c r="O24" i="14"/>
  <c r="N24" i="14"/>
  <c r="M24" i="14"/>
  <c r="L24" i="14"/>
  <c r="G24" i="14"/>
  <c r="P23" i="14"/>
  <c r="O23" i="14"/>
  <c r="N23" i="14"/>
  <c r="M23" i="14"/>
  <c r="G23" i="14"/>
  <c r="P22" i="14"/>
  <c r="O22" i="14"/>
  <c r="N22" i="14"/>
  <c r="M22" i="14"/>
  <c r="L22" i="14"/>
  <c r="G22" i="14"/>
  <c r="P21" i="14"/>
  <c r="O21" i="14"/>
  <c r="N21" i="14"/>
  <c r="M21" i="14"/>
  <c r="G21" i="14"/>
  <c r="P20" i="14"/>
  <c r="O20" i="14"/>
  <c r="N20" i="14"/>
  <c r="M20" i="14"/>
  <c r="L20" i="14"/>
  <c r="G20" i="14"/>
  <c r="P19" i="14"/>
  <c r="O19" i="14"/>
  <c r="N19" i="14"/>
  <c r="M19" i="14"/>
  <c r="G19" i="14"/>
  <c r="P18" i="14"/>
  <c r="O18" i="14"/>
  <c r="N18" i="14"/>
  <c r="M18" i="14"/>
  <c r="L18" i="14"/>
  <c r="G18" i="14"/>
  <c r="P17" i="14"/>
  <c r="O17" i="14"/>
  <c r="N17" i="14"/>
  <c r="M17" i="14"/>
  <c r="L17" i="14"/>
  <c r="G17" i="14"/>
  <c r="P16" i="14"/>
  <c r="O16" i="14"/>
  <c r="N16" i="14"/>
  <c r="M16" i="14"/>
  <c r="L16" i="14"/>
  <c r="G16" i="14"/>
  <c r="P15" i="14"/>
  <c r="O15" i="14"/>
  <c r="N15" i="14"/>
  <c r="M15" i="14"/>
  <c r="L15" i="14"/>
  <c r="G15" i="14"/>
  <c r="P14" i="14"/>
  <c r="O14" i="14"/>
  <c r="N14" i="14"/>
  <c r="M14" i="14"/>
  <c r="L14" i="14"/>
  <c r="G14" i="14"/>
  <c r="P13" i="14"/>
  <c r="O13" i="14"/>
  <c r="N13" i="14"/>
  <c r="M13" i="14"/>
  <c r="L13" i="14"/>
  <c r="G13" i="14"/>
  <c r="P12" i="14"/>
  <c r="O12" i="14"/>
  <c r="N12" i="14"/>
  <c r="M12" i="14"/>
  <c r="L12" i="14"/>
  <c r="G12" i="14"/>
  <c r="P11" i="14"/>
  <c r="O11" i="14"/>
  <c r="N11" i="14"/>
  <c r="M11" i="14"/>
  <c r="L11" i="14"/>
  <c r="G11" i="14"/>
  <c r="P10" i="14"/>
  <c r="O10" i="14"/>
  <c r="N10" i="14"/>
  <c r="M10" i="14"/>
  <c r="L10" i="14"/>
  <c r="G10" i="14"/>
  <c r="P9" i="14"/>
  <c r="O9" i="14"/>
  <c r="N9" i="14"/>
  <c r="M9" i="14"/>
  <c r="L9" i="14"/>
  <c r="G9" i="14"/>
  <c r="P8" i="14"/>
  <c r="O8" i="14"/>
  <c r="N8" i="14"/>
  <c r="M8" i="14"/>
  <c r="L8" i="14"/>
  <c r="G8" i="14"/>
  <c r="P7" i="14"/>
  <c r="O7" i="14"/>
  <c r="N7" i="14"/>
  <c r="M7" i="14"/>
  <c r="L7" i="14"/>
  <c r="G7" i="14"/>
  <c r="P6" i="14"/>
  <c r="O6" i="14"/>
  <c r="N6" i="14"/>
  <c r="M6" i="14"/>
  <c r="L6" i="14"/>
  <c r="G6" i="14"/>
  <c r="P5" i="14"/>
  <c r="O5" i="14"/>
  <c r="N5" i="14"/>
  <c r="M5" i="14"/>
  <c r="L5" i="14"/>
  <c r="G5" i="14"/>
  <c r="P4" i="14"/>
  <c r="O4" i="14"/>
  <c r="N4" i="14"/>
  <c r="M4" i="14"/>
  <c r="L4" i="14"/>
  <c r="G4" i="14"/>
  <c r="P3" i="14"/>
  <c r="O3" i="14"/>
  <c r="N3" i="14"/>
  <c r="M3" i="14"/>
  <c r="L3" i="14"/>
  <c r="G3" i="14"/>
  <c r="B8" i="7"/>
  <c r="F55" i="2"/>
  <c r="D55" i="2"/>
  <c r="F54" i="2"/>
  <c r="D54" i="2"/>
  <c r="F53" i="2"/>
  <c r="D53" i="2"/>
  <c r="F52" i="2"/>
  <c r="D52" i="2"/>
  <c r="F51" i="2"/>
  <c r="D51" i="2"/>
  <c r="F50" i="2"/>
  <c r="D50" i="2"/>
  <c r="F49" i="2"/>
  <c r="D49" i="2"/>
  <c r="F48" i="2"/>
  <c r="D48" i="2"/>
  <c r="F47" i="2"/>
  <c r="D47" i="2"/>
  <c r="F46" i="2"/>
  <c r="D46" i="2"/>
  <c r="F45" i="2"/>
  <c r="D45" i="2"/>
  <c r="F44" i="2"/>
  <c r="D44" i="2"/>
  <c r="F43" i="2"/>
  <c r="D43" i="2"/>
  <c r="F42" i="2"/>
  <c r="D42" i="2"/>
  <c r="F41" i="2"/>
  <c r="D41" i="2"/>
  <c r="F40" i="2"/>
  <c r="D40" i="2"/>
  <c r="F39" i="2"/>
  <c r="D39" i="2"/>
  <c r="F38" i="2"/>
  <c r="D38" i="2"/>
  <c r="F37" i="2"/>
  <c r="D37" i="2"/>
  <c r="F36" i="2"/>
  <c r="D36" i="2"/>
  <c r="F35" i="2"/>
  <c r="D35" i="2"/>
  <c r="F34" i="2"/>
  <c r="D34" i="2"/>
  <c r="F33" i="2"/>
  <c r="D33" i="2"/>
  <c r="L25" i="2"/>
  <c r="J25" i="2"/>
  <c r="H25" i="2"/>
  <c r="F25" i="2"/>
  <c r="D25" i="2"/>
  <c r="L24" i="2"/>
  <c r="J24" i="2"/>
  <c r="H24" i="2"/>
  <c r="F24" i="2"/>
  <c r="D24" i="2"/>
  <c r="L23" i="2"/>
  <c r="J23" i="2"/>
  <c r="H23" i="2"/>
  <c r="F23" i="2"/>
  <c r="D23" i="2"/>
  <c r="L22" i="2"/>
  <c r="J22" i="2"/>
  <c r="H22" i="2"/>
  <c r="F22" i="2"/>
  <c r="D22" i="2"/>
  <c r="L21" i="2"/>
  <c r="J21" i="2"/>
  <c r="H21" i="2"/>
  <c r="F21" i="2"/>
  <c r="D21" i="2"/>
  <c r="L20" i="2"/>
  <c r="J20" i="2"/>
  <c r="H20" i="2"/>
  <c r="F20" i="2"/>
  <c r="D20" i="2"/>
  <c r="L19" i="2"/>
  <c r="J19" i="2"/>
  <c r="H19" i="2"/>
  <c r="F19" i="2"/>
  <c r="D19" i="2"/>
  <c r="L18" i="2"/>
  <c r="J18" i="2"/>
  <c r="H18" i="2"/>
  <c r="F18" i="2"/>
  <c r="D18" i="2"/>
  <c r="L17" i="2"/>
  <c r="J17" i="2"/>
  <c r="H17" i="2"/>
  <c r="F17" i="2"/>
  <c r="D17" i="2"/>
  <c r="L16" i="2"/>
  <c r="J16" i="2"/>
  <c r="H16" i="2"/>
  <c r="F16" i="2"/>
  <c r="D16" i="2"/>
  <c r="L15" i="2"/>
  <c r="J15" i="2"/>
  <c r="H15" i="2"/>
  <c r="F15" i="2"/>
  <c r="D15" i="2"/>
  <c r="L14" i="2"/>
  <c r="J14" i="2"/>
  <c r="H14" i="2"/>
  <c r="F14" i="2"/>
  <c r="D14" i="2"/>
  <c r="L13" i="2"/>
  <c r="J13" i="2"/>
  <c r="H13" i="2"/>
  <c r="F13" i="2"/>
  <c r="D13" i="2"/>
  <c r="L12" i="2"/>
  <c r="J12" i="2"/>
  <c r="H12" i="2"/>
  <c r="F12" i="2"/>
  <c r="D12" i="2"/>
  <c r="L11" i="2"/>
  <c r="J11" i="2"/>
  <c r="H11" i="2"/>
  <c r="F11" i="2"/>
  <c r="D11" i="2"/>
  <c r="L10" i="2"/>
  <c r="J10" i="2"/>
  <c r="H10" i="2"/>
  <c r="F10" i="2"/>
  <c r="D10" i="2"/>
  <c r="L9" i="2"/>
  <c r="J9" i="2"/>
  <c r="H9" i="2"/>
  <c r="F9" i="2"/>
  <c r="D9" i="2"/>
  <c r="L8" i="2"/>
  <c r="J8" i="2"/>
  <c r="H8" i="2"/>
  <c r="F8" i="2"/>
  <c r="D8" i="2"/>
  <c r="L7" i="2"/>
  <c r="J7" i="2"/>
  <c r="H7" i="2"/>
  <c r="F7" i="2"/>
  <c r="D7" i="2"/>
  <c r="L6" i="2"/>
  <c r="J6" i="2"/>
  <c r="H6" i="2"/>
  <c r="F6" i="2"/>
  <c r="D6" i="2"/>
  <c r="L5" i="2"/>
  <c r="J5" i="2"/>
  <c r="H5" i="2"/>
  <c r="F5" i="2"/>
  <c r="D5" i="2"/>
  <c r="L4" i="2"/>
  <c r="J4" i="2"/>
  <c r="H4" i="2"/>
  <c r="F4" i="2"/>
  <c r="D4" i="2"/>
  <c r="L3" i="2"/>
  <c r="J3" i="2"/>
  <c r="H3" i="2"/>
  <c r="F3" i="2"/>
  <c r="D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53" authorId="0" shapeId="0" xr:uid="{00000000-0006-0000-0800-000001000000}">
      <text>
        <r>
          <rPr>
            <sz val="10"/>
            <color rgb="FF000000"/>
            <rFont val="Arial"/>
            <scheme val="minor"/>
          </rPr>
          <t>======
ID#AAABv2tUQAU
    (2025-11-10 08:50:42)
싸이트에 종이선택란에 전용지+엠보코팅-&gt;엠보코팅 없음-용(4/11)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byC/1lN3s2KqjY4gzQgNJY5XBUA=="/>
    </ext>
  </extLst>
</comments>
</file>

<file path=xl/sharedStrings.xml><?xml version="1.0" encoding="utf-8"?>
<sst xmlns="http://schemas.openxmlformats.org/spreadsheetml/2006/main" count="973" uniqueCount="653">
  <si>
    <t>재단사이즈</t>
  </si>
  <si>
    <t>작업사이즈</t>
  </si>
  <si>
    <t>비고</t>
  </si>
  <si>
    <t>판걸이</t>
  </si>
  <si>
    <t>기준판형</t>
  </si>
  <si>
    <t>73*98</t>
  </si>
  <si>
    <t>75*100</t>
  </si>
  <si>
    <t>15자리</t>
  </si>
  <si>
    <t>A3</t>
  </si>
  <si>
    <t>98*98</t>
  </si>
  <si>
    <t>100*100</t>
  </si>
  <si>
    <t>100*150</t>
  </si>
  <si>
    <t>102*152</t>
  </si>
  <si>
    <t>135*135</t>
  </si>
  <si>
    <t>137*137</t>
  </si>
  <si>
    <t>95*210</t>
  </si>
  <si>
    <t>97*212</t>
  </si>
  <si>
    <t>110*170</t>
  </si>
  <si>
    <t>112*172</t>
  </si>
  <si>
    <t>148*210</t>
  </si>
  <si>
    <t>150*212</t>
  </si>
  <si>
    <t>100*150(2단)</t>
  </si>
  <si>
    <t>202*152</t>
  </si>
  <si>
    <t>100*150(3단)</t>
  </si>
  <si>
    <t>300*152</t>
  </si>
  <si>
    <t>95*210(2단)</t>
  </si>
  <si>
    <t>194*214</t>
  </si>
  <si>
    <t>95*210(3단)</t>
  </si>
  <si>
    <t>287*214</t>
  </si>
  <si>
    <t>135*135(2단)</t>
  </si>
  <si>
    <t>274*139</t>
  </si>
  <si>
    <t>135*135(3단)</t>
  </si>
  <si>
    <t>470*139</t>
  </si>
  <si>
    <t>110*170(2단)</t>
  </si>
  <si>
    <t>224*174</t>
  </si>
  <si>
    <t>170*110(3단)</t>
  </si>
  <si>
    <t>174*332</t>
  </si>
  <si>
    <t>148*68</t>
  </si>
  <si>
    <t>152*72</t>
  </si>
  <si>
    <t>600*150</t>
  </si>
  <si>
    <t>604*154</t>
  </si>
  <si>
    <t>3절</t>
  </si>
  <si>
    <t>210*297</t>
  </si>
  <si>
    <t>216*303</t>
  </si>
  <si>
    <t>*인쇄배경지, 라벨, 캘린더</t>
  </si>
  <si>
    <t>90*50</t>
  </si>
  <si>
    <t>92*52</t>
  </si>
  <si>
    <t>90*90</t>
  </si>
  <si>
    <t>94*94</t>
  </si>
  <si>
    <t>떡메모지</t>
  </si>
  <si>
    <t>70*120</t>
  </si>
  <si>
    <t>74*124</t>
  </si>
  <si>
    <t>75*110</t>
  </si>
  <si>
    <t>원터치</t>
  </si>
  <si>
    <t>90*190</t>
  </si>
  <si>
    <t>타투스티커/반칼스티커</t>
  </si>
  <si>
    <t>A4</t>
  </si>
  <si>
    <t>100*148</t>
  </si>
  <si>
    <t>반칼스티커</t>
  </si>
  <si>
    <t>90*100</t>
  </si>
  <si>
    <t>50*50</t>
  </si>
  <si>
    <t>60*60</t>
  </si>
  <si>
    <t>모양명함</t>
  </si>
  <si>
    <t>50*90</t>
  </si>
  <si>
    <t>60*100</t>
  </si>
  <si>
    <t>220*145</t>
  </si>
  <si>
    <t>224*149</t>
  </si>
  <si>
    <t>캘린더</t>
  </si>
  <si>
    <t>130*220</t>
  </si>
  <si>
    <t>134*224</t>
  </si>
  <si>
    <t>94*104</t>
  </si>
  <si>
    <t>145*145</t>
  </si>
  <si>
    <t>149*149</t>
  </si>
  <si>
    <t>76*100</t>
  </si>
  <si>
    <t>86*110</t>
  </si>
  <si>
    <t>배경지</t>
  </si>
  <si>
    <t>76*120</t>
  </si>
  <si>
    <t>86*130</t>
  </si>
  <si>
    <t>86*120</t>
  </si>
  <si>
    <t>96*130</t>
  </si>
  <si>
    <t>104*104</t>
  </si>
  <si>
    <t>62*180</t>
  </si>
  <si>
    <t>72*190</t>
  </si>
  <si>
    <t>74*74</t>
  </si>
  <si>
    <t>74*109</t>
  </si>
  <si>
    <t>80*80</t>
  </si>
  <si>
    <t>헤더텍</t>
  </si>
  <si>
    <t>110*80</t>
  </si>
  <si>
    <t>120*90</t>
  </si>
  <si>
    <t>140*80</t>
  </si>
  <si>
    <t>150*90</t>
  </si>
  <si>
    <t>160*80</t>
  </si>
  <si>
    <t>170*90</t>
  </si>
  <si>
    <t>40*80</t>
  </si>
  <si>
    <t>라벨,텍</t>
  </si>
  <si>
    <t>25*110</t>
  </si>
  <si>
    <t>35*120</t>
  </si>
  <si>
    <t>300*100</t>
  </si>
  <si>
    <t>302*102</t>
  </si>
  <si>
    <t>종이슬로건</t>
  </si>
  <si>
    <t>400*135</t>
  </si>
  <si>
    <t>402*137</t>
  </si>
  <si>
    <t>55*86</t>
  </si>
  <si>
    <t>57*87</t>
  </si>
  <si>
    <t>포토카드</t>
  </si>
  <si>
    <t>디지털</t>
  </si>
  <si>
    <t>없음</t>
  </si>
  <si>
    <t>단면1도</t>
  </si>
  <si>
    <t>양면1도</t>
  </si>
  <si>
    <t>단면칼라</t>
  </si>
  <si>
    <t>양면칼라</t>
  </si>
  <si>
    <t>단면 화이트(1도)</t>
  </si>
  <si>
    <t>양면 화이트</t>
  </si>
  <si>
    <t>단면 클리어(1도)</t>
  </si>
  <si>
    <t>양면 클리어</t>
  </si>
  <si>
    <t>단면 핑크(1도)</t>
  </si>
  <si>
    <t>양면 핑크</t>
  </si>
  <si>
    <t>까지</t>
  </si>
  <si>
    <t>디지털출력비 3절</t>
  </si>
  <si>
    <t>일반 동판비(아연판)</t>
  </si>
  <si>
    <t>기본 일반박/형압 (금유광, 금무광, 은유광, 은무광,동박,청박)</t>
  </si>
  <si>
    <t>30x30</t>
  </si>
  <si>
    <t>30x50</t>
  </si>
  <si>
    <t>30x70</t>
  </si>
  <si>
    <t>30x90</t>
  </si>
  <si>
    <t>30x110</t>
  </si>
  <si>
    <t>30x130</t>
  </si>
  <si>
    <t>30x150</t>
  </si>
  <si>
    <t>30x170</t>
  </si>
  <si>
    <t>50x30</t>
  </si>
  <si>
    <t>50x50</t>
  </si>
  <si>
    <t>50x70</t>
  </si>
  <si>
    <t>50x90</t>
  </si>
  <si>
    <t>50x110</t>
  </si>
  <si>
    <t>50x130</t>
  </si>
  <si>
    <t>50x150</t>
  </si>
  <si>
    <t>50x170</t>
  </si>
  <si>
    <t>70x30</t>
  </si>
  <si>
    <t>70x50</t>
  </si>
  <si>
    <t>70x70</t>
  </si>
  <si>
    <t>70x90</t>
  </si>
  <si>
    <t>70x110</t>
  </si>
  <si>
    <t>70x130</t>
  </si>
  <si>
    <t>70x150</t>
  </si>
  <si>
    <t>70x170</t>
  </si>
  <si>
    <t>90x30</t>
  </si>
  <si>
    <t>90x50</t>
  </si>
  <si>
    <t>90x70</t>
  </si>
  <si>
    <t>90x90</t>
  </si>
  <si>
    <t>90x110</t>
  </si>
  <si>
    <t>90x130</t>
  </si>
  <si>
    <t>90x150</t>
  </si>
  <si>
    <t>90x170</t>
  </si>
  <si>
    <t>110x30</t>
  </si>
  <si>
    <t>110x50</t>
  </si>
  <si>
    <t>110x70</t>
  </si>
  <si>
    <t>110x90</t>
  </si>
  <si>
    <t>110x110</t>
  </si>
  <si>
    <t>110x130</t>
  </si>
  <si>
    <t>110x150</t>
  </si>
  <si>
    <t>110x170</t>
  </si>
  <si>
    <t>130x30</t>
  </si>
  <si>
    <t>130x50</t>
  </si>
  <si>
    <t>130x70</t>
  </si>
  <si>
    <t>130x90</t>
  </si>
  <si>
    <t>130x110</t>
  </si>
  <si>
    <t>130x130</t>
  </si>
  <si>
    <t>130x150</t>
  </si>
  <si>
    <t>130x170</t>
  </si>
  <si>
    <t>150x30</t>
  </si>
  <si>
    <t>150x50</t>
  </si>
  <si>
    <t>150x70</t>
  </si>
  <si>
    <t>150x90</t>
  </si>
  <si>
    <t>150x110</t>
  </si>
  <si>
    <t>150x130</t>
  </si>
  <si>
    <t>150x150</t>
  </si>
  <si>
    <t>150x170</t>
  </si>
  <si>
    <t>170x30</t>
  </si>
  <si>
    <t>170x50</t>
  </si>
  <si>
    <t>170x70</t>
  </si>
  <si>
    <t>170x90</t>
  </si>
  <si>
    <t>170x110</t>
  </si>
  <si>
    <t>170x130</t>
  </si>
  <si>
    <t>170x150</t>
  </si>
  <si>
    <t>170x170</t>
  </si>
  <si>
    <t>기본 특수박/형압 (먹유광, 백박, 홀로그램(무지), 트윙클박, 적박, 녹박)</t>
  </si>
  <si>
    <t>미싱</t>
  </si>
  <si>
    <t>1줄</t>
  </si>
  <si>
    <t>2줄</t>
  </si>
  <si>
    <t>3줄</t>
  </si>
  <si>
    <t>5줄</t>
  </si>
  <si>
    <t>- 5줄 미싱접지</t>
  </si>
  <si>
    <t>오시</t>
  </si>
  <si>
    <t>5줄(지그재그)</t>
  </si>
  <si>
    <t>-5줄 오시접지</t>
  </si>
  <si>
    <t xml:space="preserve"> </t>
  </si>
  <si>
    <t>리플렛</t>
  </si>
  <si>
    <t>6단</t>
  </si>
  <si>
    <t>접지+오시</t>
  </si>
  <si>
    <t>2단접지</t>
  </si>
  <si>
    <t>3단접지</t>
  </si>
  <si>
    <t>N접지</t>
  </si>
  <si>
    <t>병풍접지</t>
  </si>
  <si>
    <t>대문접지</t>
  </si>
  <si>
    <t>오시접지</t>
  </si>
  <si>
    <t>미싱접지</t>
  </si>
  <si>
    <t>가변(TEXT)</t>
  </si>
  <si>
    <t>0개 기본가공비</t>
  </si>
  <si>
    <t>1개</t>
  </si>
  <si>
    <t>1개 기본가공비</t>
  </si>
  <si>
    <t>2개</t>
  </si>
  <si>
    <t>2개 기본가공비</t>
  </si>
  <si>
    <t>3개(*)</t>
  </si>
  <si>
    <t>3개 기본가공비(+)</t>
  </si>
  <si>
    <t>&lt; 코드 수정함 by jun</t>
  </si>
  <si>
    <t>가변(IMAGE)</t>
  </si>
  <si>
    <t>Postprocess005</t>
  </si>
  <si>
    <t>모서리(귀돌이)</t>
  </si>
  <si>
    <t>직각모서리</t>
  </si>
  <si>
    <t>직각_가공비</t>
  </si>
  <si>
    <t>둥근모서리(*)</t>
  </si>
  <si>
    <t>둥근_가공비</t>
  </si>
  <si>
    <t>Postprocess006</t>
  </si>
  <si>
    <t>코팅</t>
  </si>
  <si>
    <t>무광코팅(단면)</t>
  </si>
  <si>
    <t>무광코팅(양면)</t>
  </si>
  <si>
    <t>유광코팅(단면)</t>
  </si>
  <si>
    <t>유광코팅(양면)</t>
  </si>
  <si>
    <t>Postprocess007</t>
  </si>
  <si>
    <t>코팅3절</t>
  </si>
  <si>
    <t>Postprocess008</t>
  </si>
  <si>
    <t>상품명</t>
  </si>
  <si>
    <t>용지</t>
  </si>
  <si>
    <t>100장(단면)</t>
  </si>
  <si>
    <t>100장(양면)</t>
  </si>
  <si>
    <t>스탠다드명함</t>
  </si>
  <si>
    <t>백색모조지 220g</t>
  </si>
  <si>
    <t>아트지 250g</t>
  </si>
  <si>
    <t>아트지 300g</t>
  </si>
  <si>
    <t>스노우지 250g</t>
  </si>
  <si>
    <t>스노우지 300g</t>
  </si>
  <si>
    <t>코팅명함</t>
  </si>
  <si>
    <t>프리미엄명함</t>
  </si>
  <si>
    <t>몽블랑 310g</t>
  </si>
  <si>
    <t>몽블랑 210g</t>
  </si>
  <si>
    <t>펄명함</t>
  </si>
  <si>
    <t>다이아몬드</t>
  </si>
  <si>
    <t>실버</t>
  </si>
  <si>
    <t>골드</t>
  </si>
  <si>
    <t>로즈쿼츠</t>
  </si>
  <si>
    <t>투명명함</t>
  </si>
  <si>
    <t>투명필름</t>
  </si>
  <si>
    <t>화이트명함</t>
  </si>
  <si>
    <t>화이트필름</t>
  </si>
  <si>
    <t>화이트인쇄명함</t>
  </si>
  <si>
    <t>스킨레드</t>
  </si>
  <si>
    <t>스킨블랙</t>
  </si>
  <si>
    <t>스킨바이올렛</t>
  </si>
  <si>
    <t>스킨다크블루</t>
  </si>
  <si>
    <t>모양명함(심플형90*50)</t>
  </si>
  <si>
    <t>몽블랑 240g</t>
  </si>
  <si>
    <t>미니모양명함</t>
  </si>
  <si>
    <t>명함 동판비</t>
  </si>
  <si>
    <t>아연판 가공</t>
  </si>
  <si>
    <t>명함전용</t>
  </si>
  <si>
    <t>명함박(일반박-금유광, 은유광, 먹유광, 청박, 적박, 동박, 펄박)</t>
  </si>
  <si>
    <t>10x20</t>
  </si>
  <si>
    <t>10x40</t>
  </si>
  <si>
    <t>10x60</t>
  </si>
  <si>
    <t>10x80</t>
  </si>
  <si>
    <t>20x10</t>
  </si>
  <si>
    <t>20x20</t>
  </si>
  <si>
    <t>20x40</t>
  </si>
  <si>
    <t>20x60</t>
  </si>
  <si>
    <t>20x80</t>
  </si>
  <si>
    <t>40x10</t>
  </si>
  <si>
    <t>40x20</t>
  </si>
  <si>
    <t>40x40</t>
  </si>
  <si>
    <t>40x60</t>
  </si>
  <si>
    <t>40x80</t>
  </si>
  <si>
    <t>명함박(특수박 -  백박, 홀로그램 전종)</t>
  </si>
  <si>
    <t>엽서북</t>
  </si>
  <si>
    <t>사이즈</t>
  </si>
  <si>
    <t>150*100</t>
  </si>
  <si>
    <t>인쇄</t>
  </si>
  <si>
    <t>단면</t>
  </si>
  <si>
    <t>양면</t>
  </si>
  <si>
    <t>페이지</t>
  </si>
  <si>
    <t>장수</t>
  </si>
  <si>
    <t>50장 1권</t>
  </si>
  <si>
    <t>100장 1권</t>
  </si>
  <si>
    <t>6권</t>
  </si>
  <si>
    <t>제본</t>
  </si>
  <si>
    <t>중철제본</t>
  </si>
  <si>
    <t>무선제본</t>
  </si>
  <si>
    <t>트윈링제본</t>
  </si>
  <si>
    <t>PUR제본</t>
  </si>
  <si>
    <t>하드커버무선</t>
  </si>
  <si>
    <t>하드커버트윈링</t>
  </si>
  <si>
    <t>싸바리바인더</t>
  </si>
  <si>
    <t>벽걸이캘린더제본</t>
  </si>
  <si>
    <t>탁상형캘린더제본(220)</t>
  </si>
  <si>
    <t>탁상형캘린더제본(130)</t>
  </si>
  <si>
    <t>탁상형캘린더제본(미니)</t>
  </si>
  <si>
    <t>반칼자유형스티커</t>
  </si>
  <si>
    <t>A5/반칼(자유형)4판</t>
  </si>
  <si>
    <t>A4/반칼(자유형)2판</t>
  </si>
  <si>
    <t>A3/반칼(자유형)1판</t>
  </si>
  <si>
    <t>90*190/반칼(자유형)6판</t>
  </si>
  <si>
    <t>100*148/반칼(자유형)8판</t>
  </si>
  <si>
    <t>90*110/반칼(자유형)12판</t>
  </si>
  <si>
    <t>사이즈별 용지비, 출력비 계산 후 
커팅모양 가공비 추가 =&gt; 국4절 기준</t>
  </si>
  <si>
    <t>가공비 단가입니다-용</t>
  </si>
  <si>
    <t>종이 값은 디지털용지에서 나오고 출력비와 인쇄비</t>
  </si>
  <si>
    <t>가 계산되고 가공비 단가입니다.</t>
  </si>
  <si>
    <t>*가공비만? 출력+가공?</t>
  </si>
  <si>
    <t>출력+가공 입니다-용</t>
  </si>
  <si>
    <t>낱장자유형스티커</t>
  </si>
  <si>
    <t>A4/완칼(자유형)/</t>
  </si>
  <si>
    <t>B4</t>
  </si>
  <si>
    <t>B3</t>
  </si>
  <si>
    <t>A2</t>
  </si>
  <si>
    <r>
      <rPr>
        <sz val="10"/>
        <color rgb="FFFF0000"/>
        <rFont val="Arial"/>
        <family val="2"/>
      </rPr>
      <t>전용지이기에 구간단가로 계산</t>
    </r>
    <r>
      <rPr>
        <sz val="10"/>
        <color rgb="FF38761D"/>
        <rFont val="Arial"/>
        <family val="2"/>
      </rPr>
      <t>=&gt;유포지 + 엠보코팅(실사전용소재)</t>
    </r>
  </si>
  <si>
    <t>낱장자유형투명스티커</t>
  </si>
  <si>
    <r>
      <rPr>
        <sz val="10"/>
        <color rgb="FFFF0000"/>
        <rFont val="Arial"/>
        <family val="2"/>
      </rPr>
      <t>전용지이기에 구간단가로 계산</t>
    </r>
    <r>
      <rPr>
        <sz val="10"/>
        <color rgb="FF38761D"/>
        <rFont val="Arial"/>
        <family val="2"/>
      </rPr>
      <t>=&gt;투명pvc접착 (엠보코팅 안함)</t>
    </r>
  </si>
  <si>
    <t>대형자유형스티커</t>
  </si>
  <si>
    <t>400*600/완칼(자유형)</t>
  </si>
  <si>
    <r>
      <rPr>
        <sz val="10"/>
        <color rgb="FFFF0000"/>
        <rFont val="Arial"/>
        <family val="2"/>
      </rPr>
      <t>전용지이기에 구간단가로 계산</t>
    </r>
    <r>
      <rPr>
        <sz val="10"/>
        <color rgb="FF38761D"/>
        <rFont val="Arial"/>
        <family val="2"/>
      </rPr>
      <t>=&gt;유포지 + 엠보코팅(실사전용소재)</t>
    </r>
  </si>
  <si>
    <t>반칼 원형 스티커 A5</t>
  </si>
  <si>
    <t>원형25</t>
  </si>
  <si>
    <t>원형30</t>
  </si>
  <si>
    <t>원형35</t>
  </si>
  <si>
    <t>원형40</t>
  </si>
  <si>
    <t>원형45</t>
  </si>
  <si>
    <t>원형50</t>
  </si>
  <si>
    <t>원형55</t>
  </si>
  <si>
    <t>원형60</t>
  </si>
  <si>
    <r>
      <rPr>
        <sz val="10"/>
        <color rgb="FFFF0000"/>
        <rFont val="Arial"/>
        <family val="2"/>
      </rPr>
      <t xml:space="preserve">사이즈별 용지비, 출력비 계산 후 
커팅모양 가공비 추가-=&gt; </t>
    </r>
    <r>
      <rPr>
        <sz val="10"/>
        <color rgb="FF38761D"/>
        <rFont val="Arial"/>
        <family val="2"/>
      </rPr>
      <t>국4절 기준</t>
    </r>
    <r>
      <rPr>
        <sz val="10"/>
        <color rgb="FFFF0000"/>
        <rFont val="Arial"/>
        <family val="2"/>
      </rPr>
      <t xml:space="preserve"> </t>
    </r>
    <r>
      <rPr>
        <sz val="10"/>
        <color rgb="FF38761D"/>
        <rFont val="Arial"/>
        <family val="2"/>
      </rPr>
      <t>가공비 단가입니다-용</t>
    </r>
  </si>
  <si>
    <t>반칼 원형 스티커 A4</t>
  </si>
  <si>
    <t>원형80</t>
  </si>
  <si>
    <t>원형90</t>
  </si>
  <si>
    <r>
      <rPr>
        <sz val="10"/>
        <color rgb="FFFF0000"/>
        <rFont val="Arial"/>
        <family val="2"/>
      </rPr>
      <t xml:space="preserve">사이즈별 용지비, 출력비 계산 후 
커팅모양 가공비 추가=&gt; </t>
    </r>
    <r>
      <rPr>
        <sz val="10"/>
        <color rgb="FF38761D"/>
        <rFont val="Arial"/>
        <family val="2"/>
      </rPr>
      <t>국4절 기준 가공비 단가입니다-용</t>
    </r>
  </si>
  <si>
    <t>반칼 직사각 스티커 A5</t>
  </si>
  <si>
    <t>20*40</t>
  </si>
  <si>
    <t>20*50</t>
  </si>
  <si>
    <t>20*60(참고)</t>
  </si>
  <si>
    <r>
      <rPr>
        <sz val="10"/>
        <color rgb="FFFF0000"/>
        <rFont val="Arial"/>
        <family val="2"/>
      </rPr>
      <t xml:space="preserve">사이즈별 용지비, 출력비 계산 후 
커팅모양 가공비 추가=&gt; </t>
    </r>
    <r>
      <rPr>
        <sz val="10"/>
        <color rgb="FF38761D"/>
        <rFont val="Arial"/>
        <family val="2"/>
      </rPr>
      <t>국4절 기준 가공비 단가입니다-용</t>
    </r>
  </si>
  <si>
    <t>반칼 직사각 스티커 A4</t>
  </si>
  <si>
    <t>80*40</t>
  </si>
  <si>
    <t>80*50</t>
  </si>
  <si>
    <r>
      <rPr>
        <sz val="10"/>
        <color rgb="FFFF0000"/>
        <rFont val="Arial"/>
        <family val="2"/>
      </rPr>
      <t xml:space="preserve">사이즈별 용지비, 출력비 계산 후 
커팅모양 가공비 추가=&gt; </t>
    </r>
    <r>
      <rPr>
        <sz val="10"/>
        <color rgb="FF38761D"/>
        <rFont val="Arial"/>
        <family val="2"/>
      </rPr>
      <t>국4절 기준 가공비 단가입니다-용</t>
    </r>
  </si>
  <si>
    <t>반칼 띠지 스티커 A5</t>
  </si>
  <si>
    <t>10*190</t>
  </si>
  <si>
    <t>15*190</t>
  </si>
  <si>
    <t>20*190</t>
  </si>
  <si>
    <t>25*190</t>
  </si>
  <si>
    <t>30*190</t>
  </si>
  <si>
    <t>130*10</t>
  </si>
  <si>
    <t>130*15</t>
  </si>
  <si>
    <t>130*20</t>
  </si>
  <si>
    <t>130*25</t>
  </si>
  <si>
    <t>130*30</t>
  </si>
  <si>
    <r>
      <rPr>
        <sz val="10"/>
        <color rgb="FFFF0000"/>
        <rFont val="Arial"/>
        <family val="2"/>
      </rPr>
      <t>사이즈별 용지비, 출력비 계산 후 
커팅모양 가공비 추가=&gt;</t>
    </r>
    <r>
      <rPr>
        <sz val="10"/>
        <color rgb="FF38761D"/>
        <rFont val="Arial"/>
        <family val="2"/>
      </rPr>
      <t xml:space="preserve"> 국4절 기준 가공비 단가입니다-용</t>
    </r>
  </si>
  <si>
    <t>반칼 띠지 스티커 A4</t>
  </si>
  <si>
    <t>20*278</t>
  </si>
  <si>
    <t>30*278</t>
  </si>
  <si>
    <t>40*278</t>
  </si>
  <si>
    <t>50*278</t>
  </si>
  <si>
    <t>60*278</t>
  </si>
  <si>
    <r>
      <rPr>
        <sz val="10"/>
        <color rgb="FFFF0000"/>
        <rFont val="Arial"/>
        <family val="2"/>
      </rPr>
      <t xml:space="preserve">사이즈별 용지비, 출력비 계산 후 
커팅모양 가공비 추가=&gt; </t>
    </r>
    <r>
      <rPr>
        <sz val="10"/>
        <color rgb="FF38761D"/>
        <rFont val="Arial"/>
        <family val="2"/>
      </rPr>
      <t>국4절 기준 가공비 단가입니다-용</t>
    </r>
  </si>
  <si>
    <t>반칼 팬시 스티커 124*186</t>
  </si>
  <si>
    <t>원형32</t>
  </si>
  <si>
    <t>정사각32</t>
  </si>
  <si>
    <t>하트36</t>
  </si>
  <si>
    <t>하트55</t>
  </si>
  <si>
    <t>사각분할</t>
  </si>
  <si>
    <r>
      <rPr>
        <sz val="10"/>
        <color rgb="FFFF0000"/>
        <rFont val="Arial"/>
        <family val="2"/>
      </rPr>
      <t xml:space="preserve">사이즈별 용지비, 출력비 계산 후 
커팅모양 가공비 추가=&gt; </t>
    </r>
    <r>
      <rPr>
        <sz val="10"/>
        <color rgb="FF38761D"/>
        <rFont val="Arial"/>
        <family val="2"/>
      </rPr>
      <t>국4절 기준 가공비 단가입니다-용</t>
    </r>
  </si>
  <si>
    <r>
      <rPr>
        <sz val="10"/>
        <color theme="1"/>
        <rFont val="Arial"/>
        <family val="2"/>
      </rPr>
      <t>합판 도무송 스티커 원형</t>
    </r>
    <r>
      <rPr>
        <sz val="10"/>
        <color rgb="FF38761D"/>
        <rFont val="Arial"/>
        <family val="2"/>
      </rPr>
      <t>(유광코팅)</t>
    </r>
  </si>
  <si>
    <r>
      <rPr>
        <sz val="10"/>
        <color rgb="FFFF0000"/>
        <rFont val="Arial"/>
        <family val="2"/>
      </rPr>
      <t>모양별 A3에 앉힐 수 있는 판정보 필요 -&gt;</t>
    </r>
    <r>
      <rPr>
        <sz val="10"/>
        <color rgb="FF38761D"/>
        <rFont val="Arial"/>
        <family val="2"/>
      </rPr>
      <t>판정보가 아닌 수량에 따른 판매가로 정해져야 될거 같습니다.-용</t>
    </r>
    <r>
      <rPr>
        <sz val="10"/>
        <color rgb="FFFF0000"/>
        <rFont val="Arial"/>
        <family val="2"/>
      </rPr>
      <t xml:space="preserve">
사이즈별 용지비, 출력비 계산-&gt;</t>
    </r>
    <r>
      <rPr>
        <sz val="10"/>
        <color rgb="FF38761D"/>
        <rFont val="Arial"/>
        <family val="2"/>
      </rPr>
      <t>기존 납품가 가격과 동일하게 적용합니다. 페브릭소재는 없는 상품(제외상품)입니다-용</t>
    </r>
  </si>
  <si>
    <r>
      <rPr>
        <sz val="10"/>
        <color theme="1"/>
        <rFont val="Arial"/>
        <family val="2"/>
      </rPr>
      <t>합판 도무송 스티커 원형</t>
    </r>
    <r>
      <rPr>
        <sz val="10"/>
        <color rgb="FF38761D"/>
        <rFont val="Arial"/>
        <family val="2"/>
      </rPr>
      <t>(비코팅)</t>
    </r>
  </si>
  <si>
    <r>
      <rPr>
        <sz val="10"/>
        <color rgb="FFFF0000"/>
        <rFont val="Arial"/>
        <family val="2"/>
      </rPr>
      <t>모양별 A3에 앉힐 수 있는 판정보 필요 -&gt;</t>
    </r>
    <r>
      <rPr>
        <sz val="10"/>
        <color rgb="FF38761D"/>
        <rFont val="Arial"/>
        <family val="2"/>
      </rPr>
      <t>판정보가 아닌 수량에 따른 판매가로 정해져야 될거 같습니다.-용</t>
    </r>
    <r>
      <rPr>
        <sz val="10"/>
        <color rgb="FFFF0000"/>
        <rFont val="Arial"/>
        <family val="2"/>
      </rPr>
      <t xml:space="preserve">
사이즈별 용지비, 출력비 계산-&gt;</t>
    </r>
    <r>
      <rPr>
        <sz val="10"/>
        <color rgb="FF38761D"/>
        <rFont val="Arial"/>
        <family val="2"/>
      </rPr>
      <t>기존 납품가 가격과 동일하게 적용합니다. 페브릭소재는 없는 상품(제외상품)입니다-용</t>
    </r>
  </si>
  <si>
    <r>
      <rPr>
        <sz val="10"/>
        <color theme="1"/>
        <rFont val="Arial"/>
        <family val="2"/>
      </rPr>
      <t>합판 도무송 스티커 원형</t>
    </r>
    <r>
      <rPr>
        <sz val="10"/>
        <color rgb="FF38761D"/>
        <rFont val="Arial"/>
        <family val="2"/>
      </rPr>
      <t>(유포)</t>
    </r>
  </si>
  <si>
    <r>
      <rPr>
        <sz val="10"/>
        <color rgb="FFFF0000"/>
        <rFont val="Arial"/>
        <family val="2"/>
      </rPr>
      <t>모양별 A3에 앉힐 수 있는 판정보 필요 -&gt;</t>
    </r>
    <r>
      <rPr>
        <sz val="10"/>
        <color rgb="FF38761D"/>
        <rFont val="Arial"/>
        <family val="2"/>
      </rPr>
      <t>판정보가 아닌 수량에 따른 판매가로 정해져야 될거 같습니다.-용</t>
    </r>
    <r>
      <rPr>
        <sz val="10"/>
        <color rgb="FFFF0000"/>
        <rFont val="Arial"/>
        <family val="2"/>
      </rPr>
      <t xml:space="preserve">
사이즈별 용지비, 출력비 계산-&gt;</t>
    </r>
    <r>
      <rPr>
        <sz val="10"/>
        <color rgb="FF38761D"/>
        <rFont val="Arial"/>
        <family val="2"/>
      </rPr>
      <t>기존 납품가 가격과 동일하게 적용합니다. 페브릭소재는 없는 상품(제외상품)입니다-용</t>
    </r>
  </si>
  <si>
    <r>
      <rPr>
        <sz val="10"/>
        <color theme="1"/>
        <rFont val="Arial"/>
        <family val="2"/>
      </rPr>
      <t>합판 도무송 스티커 원형</t>
    </r>
    <r>
      <rPr>
        <sz val="10"/>
        <color rgb="FF38761D"/>
        <rFont val="Arial"/>
        <family val="2"/>
      </rPr>
      <t>(투명데드롱)</t>
    </r>
  </si>
  <si>
    <r>
      <rPr>
        <sz val="10"/>
        <color rgb="FFFF0000"/>
        <rFont val="Arial"/>
        <family val="2"/>
      </rPr>
      <t>모양별 A3에 앉힐 수 있는 판정보 필요 -&gt;</t>
    </r>
    <r>
      <rPr>
        <sz val="10"/>
        <color rgb="FF38761D"/>
        <rFont val="Arial"/>
        <family val="2"/>
      </rPr>
      <t>판정보가 아닌 수량에 따른 판매가로 정해져야 될거 같습니다.-용</t>
    </r>
    <r>
      <rPr>
        <sz val="10"/>
        <color rgb="FFFF0000"/>
        <rFont val="Arial"/>
        <family val="2"/>
      </rPr>
      <t xml:space="preserve">
사이즈별 용지비, 출력비 계산-&gt;</t>
    </r>
    <r>
      <rPr>
        <sz val="10"/>
        <color rgb="FF38761D"/>
        <rFont val="Arial"/>
        <family val="2"/>
      </rPr>
      <t>기존 납품가 가격과 동일하게 적용합니다. 페브릭소재는 없는 상품(제외상품)입니다-용</t>
    </r>
  </si>
  <si>
    <r>
      <rPr>
        <sz val="10"/>
        <color theme="1"/>
        <rFont val="Arial"/>
        <family val="2"/>
      </rPr>
      <t>합판 도무송 스티커 원형</t>
    </r>
    <r>
      <rPr>
        <sz val="10"/>
        <color rgb="FF38761D"/>
        <rFont val="Arial"/>
        <family val="2"/>
      </rPr>
      <t>(은데드롱)</t>
    </r>
  </si>
  <si>
    <r>
      <rPr>
        <sz val="10"/>
        <color rgb="FFFF0000"/>
        <rFont val="Arial"/>
        <family val="2"/>
      </rPr>
      <t>모양별 A3에 앉힐 수 있는 판정보 필요 -&gt;</t>
    </r>
    <r>
      <rPr>
        <sz val="10"/>
        <color rgb="FF38761D"/>
        <rFont val="Arial"/>
        <family val="2"/>
      </rPr>
      <t>판정보가 아닌 수량에 따른 판매가로 정해져야 될거 같습니다.-용</t>
    </r>
    <r>
      <rPr>
        <sz val="10"/>
        <color rgb="FFFF0000"/>
        <rFont val="Arial"/>
        <family val="2"/>
      </rPr>
      <t xml:space="preserve">
사이즈별 용지비, 출력비 계산-&gt;</t>
    </r>
    <r>
      <rPr>
        <sz val="10"/>
        <color rgb="FF38761D"/>
        <rFont val="Arial"/>
        <family val="2"/>
      </rPr>
      <t>기존 납품가 가격과 동일하게 적용합니다. 페브릭소재는 없는 상품(제외상품)입니다-용</t>
    </r>
  </si>
  <si>
    <t>합판 도무송 스티커 정사각형(유광코팅)</t>
  </si>
  <si>
    <t>모양별 A3에 앉힐 수 있는 판정보 필요 
 사이즈별 용지비, 출력비 계산</t>
  </si>
  <si>
    <t>49000'</t>
  </si>
  <si>
    <t>합판 도무송 스티커 정사각형(비코팅)</t>
  </si>
  <si>
    <t>합판 도무송 스티커 정사각형(유포)</t>
  </si>
  <si>
    <t>합판 도무송 스티커 정사각형(투명데드롱)</t>
  </si>
  <si>
    <t>합판 도무송 스티커 정사각형(은데드롱)</t>
  </si>
  <si>
    <t>합판 도무송 스티커 직사각형(유광코팅)</t>
  </si>
  <si>
    <t>합판 도무송 스티커 직사각형(비코팅)</t>
  </si>
  <si>
    <t>합판 도무송 스티커 직사각형(유포)</t>
  </si>
  <si>
    <t>합판 도무송 스티커 직사각형(투명데드롱)</t>
  </si>
  <si>
    <t>합판 도무송 스티커 직사각형(은데드롱)</t>
  </si>
  <si>
    <t>타투스티커</t>
  </si>
  <si>
    <r>
      <rPr>
        <sz val="10"/>
        <color rgb="FFFF0000"/>
        <rFont val="Arial"/>
        <family val="2"/>
      </rPr>
      <t>전용지이기에 구간단가로 계산-&gt;</t>
    </r>
    <r>
      <rPr>
        <sz val="10"/>
        <color rgb="FF38761D"/>
        <rFont val="Arial"/>
        <family val="2"/>
      </rPr>
      <t>-판매가입니다.-용</t>
    </r>
  </si>
  <si>
    <t>스티커팩</t>
  </si>
  <si>
    <t>54장 1set (4,000원)-&gt;1set당 판매가입니다.=&gt;용</t>
  </si>
  <si>
    <t>아크릴3T 단가표(직접입력형) 양면9도 / 단면7도 통용</t>
  </si>
  <si>
    <t>Acryl_3T</t>
  </si>
  <si>
    <t>20mm</t>
  </si>
  <si>
    <t xml:space="preserve">아크릴 후가공 자재+가공+포장 </t>
  </si>
  <si>
    <t>아크릴 가공</t>
  </si>
  <si>
    <t>고리없음</t>
  </si>
  <si>
    <t>은색고리</t>
  </si>
  <si>
    <t>금색고리</t>
  </si>
  <si>
    <t>은색구슬줄</t>
  </si>
  <si>
    <t>20mm원형핀</t>
  </si>
  <si>
    <t>1구자석</t>
  </si>
  <si>
    <t>네오디움12mm</t>
  </si>
  <si>
    <t>아크릴집게</t>
  </si>
  <si>
    <t>일자핀</t>
  </si>
  <si>
    <t>2구자석</t>
  </si>
  <si>
    <t>화이트톡</t>
  </si>
  <si>
    <t>투명톡</t>
  </si>
  <si>
    <t>멕세이프톡</t>
  </si>
  <si>
    <t>볼펜</t>
  </si>
  <si>
    <t>머리끈</t>
  </si>
  <si>
    <t>투명스트랩</t>
  </si>
  <si>
    <t>와이어</t>
  </si>
  <si>
    <t xml:space="preserve">인화지 </t>
  </si>
  <si>
    <t>수량별 할인구간 아직은 계획 없음-용</t>
  </si>
  <si>
    <t>기본Min ~ 600 구간</t>
  </si>
  <si>
    <t>-&gt;</t>
  </si>
  <si>
    <t>0.25회배 이하 7,000원</t>
  </si>
  <si>
    <t>601 ~ 800 구간</t>
  </si>
  <si>
    <t>0.5회배 이하 12,000원</t>
  </si>
  <si>
    <t>801 ~ 1000 구간</t>
  </si>
  <si>
    <t>1회배 이상 20,000원</t>
  </si>
  <si>
    <t>1회배 넘는구간부터는 회배당 가격적용</t>
  </si>
  <si>
    <t>매트지</t>
  </si>
  <si>
    <t>PET</t>
  </si>
  <si>
    <t>PVC</t>
  </si>
  <si>
    <t>투명PVC</t>
  </si>
  <si>
    <t>0.25회배 이하 16,000원</t>
  </si>
  <si>
    <t>0.5회배 이하 28,000원</t>
  </si>
  <si>
    <t>1회배 이상 55,000원</t>
  </si>
  <si>
    <t>그래픽천</t>
  </si>
  <si>
    <t>린넨</t>
  </si>
  <si>
    <t>0.25회배 이하 9,000원</t>
  </si>
  <si>
    <t>0.5회배 이하 17,000원</t>
  </si>
  <si>
    <t>1회배 이상 30,000원</t>
  </si>
  <si>
    <t>캔버스</t>
  </si>
  <si>
    <t>0.25회배 이하 10,000원</t>
  </si>
  <si>
    <t>0.5회배 이하 19,000원</t>
  </si>
  <si>
    <t>1회배 이상 35,000원</t>
  </si>
  <si>
    <t>레더</t>
  </si>
  <si>
    <t>폼보드</t>
  </si>
  <si>
    <t>A3(화이트)</t>
  </si>
  <si>
    <t>A2(화이트)</t>
  </si>
  <si>
    <t>A1(화이트)</t>
  </si>
  <si>
    <t>A3(블랙)</t>
  </si>
  <si>
    <t>A2(블랙)</t>
  </si>
  <si>
    <t>A1(블랙)</t>
  </si>
  <si>
    <t>포맥스보드</t>
  </si>
  <si>
    <t>A3(화이트 3mm)</t>
  </si>
  <si>
    <t>A2(화이트 3mm)</t>
  </si>
  <si>
    <t>A1(화이트 3mm)</t>
  </si>
  <si>
    <t>A3(화이트 5mm)</t>
  </si>
  <si>
    <t>A2(화이트 5mm)</t>
  </si>
  <si>
    <t>A1(화이트 5mm)</t>
  </si>
  <si>
    <t>프레임리스액자</t>
  </si>
  <si>
    <t>A1</t>
  </si>
  <si>
    <t>레더아트액자</t>
  </si>
  <si>
    <t>5*5</t>
  </si>
  <si>
    <t>5*7</t>
  </si>
  <si>
    <t>8*8</t>
  </si>
  <si>
    <t>8*10</t>
  </si>
  <si>
    <t>족자포스터(사각,원형)</t>
  </si>
  <si>
    <t>300*600</t>
  </si>
  <si>
    <t>900*1200</t>
  </si>
  <si>
    <t>천정고리없음</t>
  </si>
  <si>
    <t>천정고리(2개 1set)</t>
  </si>
  <si>
    <t>캔버스행잉포스터</t>
  </si>
  <si>
    <t>오버로크기본</t>
  </si>
  <si>
    <t>우드행거 없음</t>
  </si>
  <si>
    <t>A3우드행거+면끈</t>
  </si>
  <si>
    <t>A2우드행거+면끈</t>
  </si>
  <si>
    <t>A1우드행거+면끈</t>
  </si>
  <si>
    <t>린넨우드봉족자</t>
  </si>
  <si>
    <t>봉미싱기본</t>
  </si>
  <si>
    <t>우드봉없음</t>
  </si>
  <si>
    <t>A3우드봉+면끈</t>
  </si>
  <si>
    <t>A2우드봉+면끈</t>
  </si>
  <si>
    <t>A1우드봉+면끈</t>
  </si>
  <si>
    <t>PET배너</t>
  </si>
  <si>
    <t>600*1800</t>
  </si>
  <si>
    <t>무광코팅</t>
  </si>
  <si>
    <t>유광코팅</t>
  </si>
  <si>
    <t>거치대없음</t>
  </si>
  <si>
    <t>실내용거치대</t>
  </si>
  <si>
    <t>실외용거치대(단면용)</t>
  </si>
  <si>
    <t>실외용거치대(양면용)</t>
  </si>
  <si>
    <t>메쉬배너</t>
  </si>
  <si>
    <t>후가공</t>
  </si>
  <si>
    <t>열재단</t>
  </si>
  <si>
    <t>타공(4개)</t>
  </si>
  <si>
    <t>타공(6개)</t>
  </si>
  <si>
    <t>타공(8개)</t>
  </si>
  <si>
    <t>양면테잎</t>
  </si>
  <si>
    <t>봉미싱</t>
  </si>
  <si>
    <t>큐방</t>
  </si>
  <si>
    <t>끈</t>
  </si>
  <si>
    <t>각목(900아하)+끈</t>
  </si>
  <si>
    <t>각목(900초과)+끈</t>
  </si>
  <si>
    <t>일반현수막</t>
  </si>
  <si>
    <t>훼배당 단가 공식 필요 -&gt; 아크릴 3T 테이블 참고</t>
  </si>
  <si>
    <t>1750mm 이상 미싱작업 필요</t>
  </si>
  <si>
    <t>메쉬현수막</t>
  </si>
  <si>
    <t>무광시트커팅</t>
  </si>
  <si>
    <t>Å3</t>
  </si>
  <si>
    <t>홀로그램시트커팅</t>
  </si>
  <si>
    <t>↓ 수량구간당 필요</t>
  </si>
  <si>
    <t>1장을 여러 개 하는경우가 없어서 별도 할인구간 없음-용</t>
  </si>
  <si>
    <t>유광아크릴스티커</t>
  </si>
  <si>
    <t>300*200</t>
  </si>
  <si>
    <t>400*300</t>
  </si>
  <si>
    <t>600*400</t>
  </si>
  <si>
    <t>미러아크릴스티커</t>
  </si>
  <si>
    <t>대형스티커</t>
  </si>
  <si>
    <t>유포지(실사전용)</t>
  </si>
  <si>
    <t>미니스탠딩보드</t>
  </si>
  <si>
    <t>A5</t>
  </si>
  <si>
    <t>1~4</t>
  </si>
  <si>
    <t>5~19</t>
  </si>
  <si>
    <t>20~49</t>
  </si>
  <si>
    <t>50~99</t>
  </si>
  <si>
    <t>100~</t>
  </si>
  <si>
    <t>미니배너</t>
  </si>
  <si>
    <t>150*300</t>
  </si>
  <si>
    <t>거치대포함</t>
  </si>
  <si>
    <t>미니거치대 선택옵션 없이 세트 상품으로 합니다-용</t>
  </si>
  <si>
    <t>180*420</t>
  </si>
  <si>
    <t>후니프린팅 포카공급가</t>
  </si>
  <si>
    <t>수량</t>
  </si>
  <si>
    <t>판매가</t>
  </si>
  <si>
    <t>20장</t>
  </si>
  <si>
    <t>2025.08.13</t>
  </si>
  <si>
    <t>수량구간별 할인율</t>
  </si>
  <si>
    <t>구분</t>
  </si>
  <si>
    <t>상품옵션</t>
  </si>
  <si>
    <t>선택옵션</t>
  </si>
  <si>
    <t>price</t>
  </si>
  <si>
    <t>조정가(vat별도)</t>
  </si>
  <si>
    <t>조정가</t>
  </si>
  <si>
    <t>최소수량</t>
  </si>
  <si>
    <t>주문수량</t>
  </si>
  <si>
    <t>10~49(3%)</t>
  </si>
  <si>
    <t>50~99(5%)</t>
  </si>
  <si>
    <t>100~499(10%)</t>
  </si>
  <si>
    <t>500~999(15%)</t>
  </si>
  <si>
    <t>1000~(20%)</t>
  </si>
  <si>
    <t>레더파우치</t>
  </si>
  <si>
    <t>레더 플랫 파우치</t>
  </si>
  <si>
    <t>Medium</t>
  </si>
  <si>
    <t>Large</t>
  </si>
  <si>
    <t>레더 슬림 파우치</t>
  </si>
  <si>
    <t>레더 삼각 파우치</t>
  </si>
  <si>
    <t>레더 볼륨 파우치</t>
  </si>
  <si>
    <t>Medium 정사각</t>
  </si>
  <si>
    <t>Medium 직사각</t>
  </si>
  <si>
    <t xml:space="preserve">레더 스트링 파우치 </t>
  </si>
  <si>
    <t>레더 스트링 원형파우치</t>
  </si>
  <si>
    <t>레더 플랫 클러치</t>
  </si>
  <si>
    <t>레더 삼각 클러치</t>
  </si>
  <si>
    <t>레더 아이패드/노트북 파우치</t>
  </si>
  <si>
    <t>11인치</t>
  </si>
  <si>
    <t>13인치</t>
  </si>
  <si>
    <t>15인치</t>
  </si>
  <si>
    <t>패브릭파우치</t>
  </si>
  <si>
    <t>캔버스 플랫 파우치</t>
  </si>
  <si>
    <t>Medium + 라벨없음</t>
  </si>
  <si>
    <t>Medium + 라벨부착</t>
  </si>
  <si>
    <t>Large + 라벨없음</t>
  </si>
  <si>
    <t>Large + 라벨부착</t>
  </si>
  <si>
    <t>캔버스 삼각 파우치</t>
  </si>
  <si>
    <t>캔버스 스트랩 라벨파우치</t>
  </si>
  <si>
    <t>레더라벨 70*100</t>
  </si>
  <si>
    <t>블랙</t>
  </si>
  <si>
    <t>광목 스트링 라벨파우치</t>
  </si>
  <si>
    <t>레더라벨 100*70</t>
  </si>
  <si>
    <t>레더라벨 100*40</t>
  </si>
  <si>
    <t>린넨 스트링 파우치</t>
  </si>
  <si>
    <t>Small</t>
  </si>
  <si>
    <t>타이벡파우치</t>
  </si>
  <si>
    <t>타이벡 플랫 파우치</t>
  </si>
  <si>
    <t>X-Large</t>
  </si>
  <si>
    <t>타이벡 슬림 파우치</t>
  </si>
  <si>
    <t>타이벡 삼각 파우치</t>
  </si>
  <si>
    <t>타이벡 스트링 파우치</t>
  </si>
  <si>
    <t>타이벡 플랫 클러치</t>
  </si>
  <si>
    <t>메쉬파우치</t>
  </si>
  <si>
    <t>메쉬슬림파우치</t>
  </si>
  <si>
    <t>메쉬볼륨파우치</t>
  </si>
  <si>
    <t>Large 직사각</t>
  </si>
  <si>
    <t>미니파우치</t>
  </si>
  <si>
    <t>레더 플랫 미니파우치</t>
  </si>
  <si>
    <t>레더 슬림 미니파우치</t>
  </si>
  <si>
    <t>직사각</t>
  </si>
  <si>
    <t>정사각</t>
  </si>
  <si>
    <t>레더 삼각 미니파우치</t>
  </si>
  <si>
    <t>레더 볼륨 미니파우치</t>
  </si>
  <si>
    <t>레더 원형 미니파우치</t>
  </si>
  <si>
    <t>마카롱</t>
  </si>
  <si>
    <t>필통</t>
  </si>
  <si>
    <t>레더 플랫 필통</t>
  </si>
  <si>
    <t>레더 슬림 필통</t>
  </si>
  <si>
    <t>레더 삼각 필통</t>
  </si>
  <si>
    <t>레더 볼륨 필통</t>
  </si>
  <si>
    <t>레더 원형 필통</t>
  </si>
  <si>
    <t>캔버스 플랫 필통</t>
  </si>
  <si>
    <t>라벨없음</t>
  </si>
  <si>
    <t>라벨부착</t>
  </si>
  <si>
    <t>캔버스 삼각 필통</t>
  </si>
  <si>
    <t>레더에코백</t>
  </si>
  <si>
    <t>레더토트백</t>
  </si>
  <si>
    <t>레더숄더백</t>
  </si>
  <si>
    <t>세로형</t>
  </si>
  <si>
    <t>패브릭에코백</t>
  </si>
  <si>
    <t>린넨 미니에코백</t>
  </si>
  <si>
    <t>린넨 토트백</t>
  </si>
  <si>
    <t>린넨 에코백</t>
  </si>
  <si>
    <t>가로형</t>
  </si>
  <si>
    <t>캔버스심플백</t>
  </si>
  <si>
    <t>Medium 세로 + 라벨없음</t>
  </si>
  <si>
    <t>Medium 세로 + 라벨부착</t>
  </si>
  <si>
    <t>캔버스 포켓심플백</t>
  </si>
  <si>
    <t>Medium 블랙</t>
  </si>
  <si>
    <t>캔버스에코백</t>
  </si>
  <si>
    <t>Large 가로 + 라벨없음</t>
  </si>
  <si>
    <t>Large 가로 + 라벨부착</t>
  </si>
  <si>
    <t>캔버스숄더백</t>
  </si>
  <si>
    <t>캔버스 포켓숄더백</t>
  </si>
  <si>
    <t>타이벡에코백</t>
  </si>
  <si>
    <t>타이벡 양면 백팩</t>
  </si>
  <si>
    <t>타이벡보냉보틀백</t>
  </si>
  <si>
    <t>타이벡 보냉 미니백</t>
  </si>
  <si>
    <t>타이벡 에코백</t>
  </si>
  <si>
    <t>타이벡 보냉에코백</t>
  </si>
  <si>
    <t>메쉬에코백</t>
  </si>
  <si>
    <t>메쉬 토트백</t>
  </si>
  <si>
    <t>메쉬 에코백</t>
  </si>
  <si>
    <t>라벨제작</t>
  </si>
  <si>
    <t>레더라벨제작</t>
  </si>
  <si>
    <t>레더접이라벨 15x30mm</t>
  </si>
  <si>
    <t>레더접이라벨 20x40mm</t>
  </si>
  <si>
    <t>레더접이라벨 30x50mm</t>
  </si>
  <si>
    <t>★라벨미싱비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</si>
</sst>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&quot;₩&quot;#,##0"/>
    <numFmt numFmtId="177" formatCode="_-* #,##0_-;\-* #,##0_-;_-* &quot;-&quot;_-;_-@"/>
  </numFmts>
  <fonts count="38">
    <font>
      <sz val="10"/>
      <color rgb="FF000000"/>
      <name val="Arial"/>
      <scheme val="minor"/>
    </font>
    <font>
      <b/>
      <sz val="9"/>
      <color theme="1"/>
      <name val="Arial"/>
    </font>
    <font>
      <sz val="9"/>
      <color theme="1"/>
      <name val="Arial"/>
    </font>
    <font>
      <sz val="9"/>
      <color rgb="FF000000"/>
      <name val="Arial"/>
    </font>
    <font>
      <sz val="10"/>
      <color theme="1"/>
      <name val="Arial"/>
    </font>
    <font>
      <b/>
      <sz val="10"/>
      <color rgb="FF34A853"/>
      <name val="Arial"/>
    </font>
    <font>
      <sz val="10"/>
      <color rgb="FFFF0000"/>
      <name val="Arial"/>
    </font>
    <font>
      <sz val="10"/>
      <color rgb="FFFF0000"/>
      <name val="Dotum"/>
      <family val="3"/>
      <charset val="129"/>
    </font>
    <font>
      <sz val="9"/>
      <color rgb="FFFF9900"/>
      <name val="Arial"/>
    </font>
    <font>
      <sz val="10"/>
      <color rgb="FF000000"/>
      <name val="Arial"/>
    </font>
    <font>
      <b/>
      <sz val="9"/>
      <color rgb="FF000000"/>
      <name val="Arial"/>
    </font>
    <font>
      <b/>
      <sz val="10"/>
      <color rgb="FF000000"/>
      <name val="&quot;맑은 고딕&quot;"/>
      <family val="3"/>
      <charset val="129"/>
    </font>
    <font>
      <sz val="11"/>
      <color rgb="FF000000"/>
      <name val="&quot;맑은 고딕&quot;"/>
      <family val="3"/>
      <charset val="129"/>
    </font>
    <font>
      <sz val="10"/>
      <color rgb="FF000000"/>
      <name val="&quot;맑은 고딕&quot;"/>
      <family val="3"/>
      <charset val="129"/>
    </font>
    <font>
      <sz val="10"/>
      <color theme="1"/>
      <name val="Arial"/>
      <family val="2"/>
      <scheme val="minor"/>
    </font>
    <font>
      <sz val="10"/>
      <color rgb="FFFFFFFF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&quot;맑은 고딕&quot;"/>
      <family val="3"/>
      <charset val="129"/>
    </font>
    <font>
      <sz val="10"/>
      <name val="Arial"/>
      <family val="2"/>
    </font>
    <font>
      <sz val="10"/>
      <color theme="1"/>
      <name val="Arial"/>
      <family val="2"/>
    </font>
    <font>
      <sz val="10"/>
      <color rgb="FF000000"/>
      <name val="&quot;맑은 고딕&quot;"/>
      <family val="3"/>
      <charset val="129"/>
    </font>
    <font>
      <sz val="10"/>
      <color rgb="FF38761D"/>
      <name val="Arial"/>
      <family val="2"/>
    </font>
    <font>
      <sz val="11"/>
      <color rgb="FF000000"/>
      <name val="Arial"/>
      <family val="2"/>
    </font>
    <font>
      <sz val="9"/>
      <color rgb="FF000000"/>
      <name val="&quot;맑은 고딕&quot;"/>
      <family val="3"/>
      <charset val="129"/>
    </font>
    <font>
      <sz val="9"/>
      <color rgb="FF134F5C"/>
      <name val="Arial"/>
      <family val="2"/>
    </font>
    <font>
      <sz val="9"/>
      <color rgb="FFFF0000"/>
      <name val="Arial"/>
      <family val="2"/>
    </font>
    <font>
      <b/>
      <sz val="10"/>
      <color rgb="FFFF0000"/>
      <name val="&quot;맑은 고딕&quot;"/>
      <family val="3"/>
      <charset val="129"/>
    </font>
    <font>
      <sz val="10"/>
      <color theme="1"/>
      <name val="&quot;맑은 고딕&quot;"/>
      <family val="3"/>
      <charset val="129"/>
    </font>
    <font>
      <sz val="11"/>
      <color theme="1"/>
      <name val="&quot;맑은 고딕&quot;"/>
      <family val="3"/>
      <charset val="129"/>
    </font>
    <font>
      <sz val="9"/>
      <color theme="1"/>
      <name val="Calibri"/>
      <family val="2"/>
    </font>
    <font>
      <sz val="10"/>
      <color theme="1"/>
      <name val="Calibri"/>
      <family val="2"/>
    </font>
    <font>
      <sz val="11"/>
      <color theme="1"/>
      <name val="Calibri"/>
      <family val="2"/>
    </font>
    <font>
      <b/>
      <sz val="9"/>
      <color theme="1"/>
      <name val="Calibri"/>
      <family val="2"/>
    </font>
    <font>
      <b/>
      <sz val="9"/>
      <color rgb="FFFF0000"/>
      <name val="Calibri"/>
      <family val="2"/>
    </font>
    <font>
      <b/>
      <sz val="9"/>
      <color rgb="FF000000"/>
      <name val="Calibri"/>
      <family val="2"/>
    </font>
    <font>
      <sz val="10"/>
      <color rgb="FFFF0000"/>
      <name val="Arial"/>
      <family val="2"/>
    </font>
    <font>
      <sz val="8"/>
      <name val="Arial"/>
      <family val="3"/>
      <charset val="129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FEF1CC"/>
        <bgColor rgb="FFFEF1CC"/>
      </patternFill>
    </fill>
    <fill>
      <patternFill patternType="solid">
        <fgColor rgb="FFD3F1DB"/>
        <bgColor rgb="FFD3F1DB"/>
      </patternFill>
    </fill>
    <fill>
      <patternFill patternType="solid">
        <fgColor theme="0"/>
        <bgColor theme="0"/>
      </patternFill>
    </fill>
    <fill>
      <patternFill patternType="solid">
        <fgColor rgb="FFD9E7FD"/>
        <bgColor rgb="FFD9E7FD"/>
      </patternFill>
    </fill>
    <fill>
      <patternFill patternType="solid">
        <fgColor rgb="FFFBD8D5"/>
        <bgColor rgb="FFFBD8D5"/>
      </patternFill>
    </fill>
    <fill>
      <patternFill patternType="solid">
        <fgColor rgb="FFFF0000"/>
        <bgColor rgb="FFFF0000"/>
      </patternFill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EFEFEF"/>
        <bgColor rgb="FFEFEFEF"/>
      </patternFill>
    </fill>
    <fill>
      <patternFill patternType="solid">
        <fgColor rgb="FFEEECE1"/>
        <bgColor rgb="FFEEECE1"/>
      </patternFill>
    </fill>
    <fill>
      <patternFill patternType="solid">
        <fgColor rgb="FFD9F1F3"/>
        <bgColor rgb="FFD9F1F3"/>
      </patternFill>
    </fill>
    <fill>
      <patternFill patternType="solid">
        <fgColor rgb="FFD9D2E9"/>
        <bgColor rgb="FFD9D2E9"/>
      </patternFill>
    </fill>
    <fill>
      <patternFill patternType="solid">
        <fgColor rgb="FFFDD667"/>
        <bgColor rgb="FFFDD667"/>
      </patternFill>
    </fill>
    <fill>
      <patternFill patternType="solid">
        <fgColor rgb="FFB8CCE4"/>
        <bgColor rgb="FFB8CCE4"/>
      </patternFill>
    </fill>
    <fill>
      <patternFill patternType="solid">
        <fgColor rgb="FFC4BD97"/>
        <bgColor rgb="FFC4BD97"/>
      </patternFill>
    </fill>
    <fill>
      <patternFill patternType="solid">
        <fgColor rgb="FFFABF8F"/>
        <bgColor rgb="FFFABF8F"/>
      </patternFill>
    </fill>
    <fill>
      <patternFill patternType="solid">
        <fgColor theme="9"/>
        <bgColor theme="9"/>
      </patternFill>
    </fill>
    <fill>
      <patternFill patternType="solid">
        <fgColor rgb="FFB6DDE8"/>
        <bgColor rgb="FFB6DDE8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1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/>
    <xf numFmtId="0" fontId="6" fillId="0" borderId="0" xfId="0" applyFont="1"/>
    <xf numFmtId="0" fontId="6" fillId="0" borderId="0" xfId="0" applyFont="1" applyAlignment="1">
      <alignment horizontal="right"/>
    </xf>
    <xf numFmtId="0" fontId="6" fillId="0" borderId="0" xfId="0" applyFont="1" applyAlignment="1">
      <alignment horizontal="center"/>
    </xf>
    <xf numFmtId="0" fontId="7" fillId="0" borderId="0" xfId="0" applyFont="1"/>
    <xf numFmtId="0" fontId="4" fillId="2" borderId="0" xfId="0" applyFont="1" applyFill="1"/>
    <xf numFmtId="0" fontId="4" fillId="0" borderId="0" xfId="0" applyFont="1"/>
    <xf numFmtId="0" fontId="2" fillId="2" borderId="0" xfId="0" applyFont="1" applyFill="1" applyAlignment="1">
      <alignment horizontal="center"/>
    </xf>
    <xf numFmtId="0" fontId="8" fillId="0" borderId="0" xfId="0" applyFont="1"/>
    <xf numFmtId="0" fontId="3" fillId="0" borderId="0" xfId="0" applyFont="1" applyAlignment="1">
      <alignment horizontal="right"/>
    </xf>
    <xf numFmtId="0" fontId="3" fillId="3" borderId="0" xfId="0" applyFont="1" applyFill="1" applyAlignment="1">
      <alignment horizontal="right"/>
    </xf>
    <xf numFmtId="0" fontId="2" fillId="4" borderId="0" xfId="0" applyFont="1" applyFill="1" applyAlignment="1">
      <alignment horizontal="center"/>
    </xf>
    <xf numFmtId="0" fontId="8" fillId="4" borderId="0" xfId="0" applyFont="1" applyFill="1"/>
    <xf numFmtId="0" fontId="2" fillId="4" borderId="0" xfId="0" applyFont="1" applyFill="1"/>
    <xf numFmtId="0" fontId="9" fillId="0" borderId="0" xfId="0" applyFont="1" applyAlignment="1">
      <alignment horizontal="right"/>
    </xf>
    <xf numFmtId="0" fontId="9" fillId="3" borderId="0" xfId="0" applyFont="1" applyFill="1" applyAlignment="1">
      <alignment horizontal="right"/>
    </xf>
    <xf numFmtId="0" fontId="3" fillId="4" borderId="0" xfId="0" applyFont="1" applyFill="1" applyAlignment="1">
      <alignment horizontal="right"/>
    </xf>
    <xf numFmtId="0" fontId="9" fillId="4" borderId="0" xfId="0" applyFont="1" applyFill="1" applyAlignment="1">
      <alignment horizontal="right"/>
    </xf>
    <xf numFmtId="0" fontId="9" fillId="0" borderId="0" xfId="0" applyFont="1"/>
    <xf numFmtId="0" fontId="9" fillId="5" borderId="0" xfId="0" applyFont="1" applyFill="1" applyAlignment="1">
      <alignment horizontal="right"/>
    </xf>
    <xf numFmtId="0" fontId="9" fillId="7" borderId="0" xfId="0" applyFont="1" applyFill="1" applyAlignment="1">
      <alignment horizontal="right"/>
    </xf>
    <xf numFmtId="0" fontId="9" fillId="7" borderId="0" xfId="0" applyFont="1" applyFill="1"/>
    <xf numFmtId="3" fontId="9" fillId="8" borderId="0" xfId="0" applyNumberFormat="1" applyFont="1" applyFill="1"/>
    <xf numFmtId="3" fontId="9" fillId="9" borderId="0" xfId="0" applyNumberFormat="1" applyFont="1" applyFill="1"/>
    <xf numFmtId="3" fontId="9" fillId="5" borderId="0" xfId="0" applyNumberFormat="1" applyFont="1" applyFill="1"/>
    <xf numFmtId="3" fontId="9" fillId="6" borderId="0" xfId="0" applyNumberFormat="1" applyFont="1" applyFill="1"/>
    <xf numFmtId="0" fontId="4" fillId="7" borderId="0" xfId="0" applyFont="1" applyFill="1"/>
    <xf numFmtId="3" fontId="9" fillId="7" borderId="0" xfId="0" applyNumberFormat="1" applyFont="1" applyFill="1"/>
    <xf numFmtId="3" fontId="9" fillId="7" borderId="0" xfId="0" applyNumberFormat="1" applyFont="1" applyFill="1" applyAlignment="1">
      <alignment horizontal="right"/>
    </xf>
    <xf numFmtId="0" fontId="10" fillId="7" borderId="0" xfId="0" applyFont="1" applyFill="1"/>
    <xf numFmtId="0" fontId="3" fillId="7" borderId="0" xfId="0" applyFont="1" applyFill="1"/>
    <xf numFmtId="0" fontId="3" fillId="7" borderId="0" xfId="0" applyFont="1" applyFill="1" applyAlignment="1">
      <alignment horizontal="center"/>
    </xf>
    <xf numFmtId="0" fontId="3" fillId="7" borderId="0" xfId="0" applyFont="1" applyFill="1" applyAlignment="1">
      <alignment horizontal="right"/>
    </xf>
    <xf numFmtId="0" fontId="12" fillId="7" borderId="0" xfId="0" applyFont="1" applyFill="1"/>
    <xf numFmtId="0" fontId="13" fillId="7" borderId="0" xfId="0" applyFont="1" applyFill="1" applyAlignment="1">
      <alignment horizontal="center"/>
    </xf>
    <xf numFmtId="0" fontId="12" fillId="7" borderId="0" xfId="0" applyFont="1" applyFill="1" applyAlignment="1">
      <alignment horizontal="center"/>
    </xf>
    <xf numFmtId="3" fontId="12" fillId="7" borderId="0" xfId="0" applyNumberFormat="1" applyFont="1" applyFill="1"/>
    <xf numFmtId="0" fontId="12" fillId="7" borderId="0" xfId="0" applyFont="1" applyFill="1" applyAlignment="1">
      <alignment horizontal="right"/>
    </xf>
    <xf numFmtId="0" fontId="4" fillId="2" borderId="0" xfId="0" applyFont="1" applyFill="1" applyAlignment="1">
      <alignment horizontal="center"/>
    </xf>
    <xf numFmtId="0" fontId="6" fillId="0" borderId="0" xfId="0" quotePrefix="1" applyFont="1"/>
    <xf numFmtId="0" fontId="14" fillId="0" borderId="0" xfId="0" applyFont="1"/>
    <xf numFmtId="0" fontId="15" fillId="10" borderId="0" xfId="0" applyFont="1" applyFill="1" applyAlignment="1">
      <alignment horizontal="center"/>
    </xf>
    <xf numFmtId="1" fontId="9" fillId="0" borderId="0" xfId="0" applyNumberFormat="1" applyFont="1" applyAlignment="1">
      <alignment horizontal="right"/>
    </xf>
    <xf numFmtId="0" fontId="16" fillId="0" borderId="0" xfId="0" applyFont="1" applyAlignment="1">
      <alignment vertical="top"/>
    </xf>
    <xf numFmtId="0" fontId="17" fillId="0" borderId="0" xfId="0" applyFont="1" applyAlignment="1">
      <alignment vertical="top"/>
    </xf>
    <xf numFmtId="0" fontId="17" fillId="10" borderId="0" xfId="0" applyFont="1" applyFill="1" applyAlignment="1">
      <alignment vertical="top"/>
    </xf>
    <xf numFmtId="0" fontId="9" fillId="0" borderId="0" xfId="0" applyFont="1" applyAlignment="1">
      <alignment horizontal="right" vertical="top"/>
    </xf>
    <xf numFmtId="0" fontId="9" fillId="2" borderId="0" xfId="0" applyFont="1" applyFill="1" applyAlignment="1">
      <alignment horizontal="center"/>
    </xf>
    <xf numFmtId="0" fontId="9" fillId="2" borderId="0" xfId="0" applyFont="1" applyFill="1"/>
    <xf numFmtId="0" fontId="11" fillId="0" borderId="1" xfId="0" applyFont="1" applyBorder="1" applyAlignment="1">
      <alignment horizontal="center"/>
    </xf>
    <xf numFmtId="0" fontId="11" fillId="0" borderId="2" xfId="0" applyFont="1" applyBorder="1" applyAlignment="1">
      <alignment horizontal="center"/>
    </xf>
    <xf numFmtId="0" fontId="18" fillId="11" borderId="2" xfId="0" applyFont="1" applyFill="1" applyBorder="1" applyAlignment="1">
      <alignment horizontal="center"/>
    </xf>
    <xf numFmtId="0" fontId="13" fillId="0" borderId="3" xfId="0" applyFont="1" applyBorder="1"/>
    <xf numFmtId="0" fontId="12" fillId="0" borderId="4" xfId="0" applyFont="1" applyBorder="1"/>
    <xf numFmtId="0" fontId="3" fillId="0" borderId="4" xfId="0" applyFont="1" applyBorder="1"/>
    <xf numFmtId="3" fontId="3" fillId="0" borderId="4" xfId="0" applyNumberFormat="1" applyFont="1" applyBorder="1" applyAlignment="1">
      <alignment horizontal="right"/>
    </xf>
    <xf numFmtId="3" fontId="3" fillId="0" borderId="4" xfId="0" applyNumberFormat="1" applyFont="1" applyBorder="1"/>
    <xf numFmtId="0" fontId="3" fillId="0" borderId="3" xfId="0" applyFont="1" applyBorder="1" applyAlignment="1">
      <alignment horizontal="left"/>
    </xf>
    <xf numFmtId="3" fontId="3" fillId="12" borderId="4" xfId="0" applyNumberFormat="1" applyFont="1" applyFill="1" applyBorder="1" applyAlignment="1">
      <alignment horizontal="right"/>
    </xf>
    <xf numFmtId="0" fontId="10" fillId="0" borderId="6" xfId="0" applyFont="1" applyBorder="1"/>
    <xf numFmtId="0" fontId="9" fillId="0" borderId="7" xfId="0" applyFont="1" applyBorder="1"/>
    <xf numFmtId="0" fontId="3" fillId="2" borderId="3" xfId="0" applyFont="1" applyFill="1" applyBorder="1"/>
    <xf numFmtId="0" fontId="3" fillId="2" borderId="4" xfId="0" applyFont="1" applyFill="1" applyBorder="1" applyAlignment="1">
      <alignment horizontal="center"/>
    </xf>
    <xf numFmtId="0" fontId="3" fillId="0" borderId="3" xfId="0" applyFont="1" applyBorder="1"/>
    <xf numFmtId="0" fontId="3" fillId="0" borderId="4" xfId="0" applyFont="1" applyBorder="1" applyAlignment="1">
      <alignment horizontal="right"/>
    </xf>
    <xf numFmtId="0" fontId="3" fillId="0" borderId="3" xfId="0" applyFont="1" applyBorder="1" applyAlignment="1">
      <alignment horizontal="center"/>
    </xf>
    <xf numFmtId="0" fontId="9" fillId="4" borderId="0" xfId="0" applyFont="1" applyFill="1"/>
    <xf numFmtId="3" fontId="9" fillId="8" borderId="1" xfId="0" applyNumberFormat="1" applyFont="1" applyFill="1" applyBorder="1"/>
    <xf numFmtId="3" fontId="9" fillId="8" borderId="2" xfId="0" applyNumberFormat="1" applyFont="1" applyFill="1" applyBorder="1"/>
    <xf numFmtId="3" fontId="9" fillId="8" borderId="3" xfId="0" applyNumberFormat="1" applyFont="1" applyFill="1" applyBorder="1"/>
    <xf numFmtId="3" fontId="9" fillId="8" borderId="4" xfId="0" applyNumberFormat="1" applyFont="1" applyFill="1" applyBorder="1"/>
    <xf numFmtId="3" fontId="9" fillId="6" borderId="1" xfId="0" applyNumberFormat="1" applyFont="1" applyFill="1" applyBorder="1"/>
    <xf numFmtId="3" fontId="9" fillId="6" borderId="2" xfId="0" applyNumberFormat="1" applyFont="1" applyFill="1" applyBorder="1"/>
    <xf numFmtId="3" fontId="9" fillId="6" borderId="3" xfId="0" applyNumberFormat="1" applyFont="1" applyFill="1" applyBorder="1"/>
    <xf numFmtId="3" fontId="9" fillId="6" borderId="4" xfId="0" applyNumberFormat="1" applyFont="1" applyFill="1" applyBorder="1"/>
    <xf numFmtId="0" fontId="4" fillId="7" borderId="0" xfId="0" applyFont="1" applyFill="1" applyAlignment="1">
      <alignment horizontal="center"/>
    </xf>
    <xf numFmtId="0" fontId="12" fillId="0" borderId="0" xfId="0" applyFont="1" applyAlignment="1">
      <alignment horizontal="right"/>
    </xf>
    <xf numFmtId="0" fontId="4" fillId="13" borderId="0" xfId="0" applyFont="1" applyFill="1"/>
    <xf numFmtId="176" fontId="4" fillId="0" borderId="0" xfId="0" applyNumberFormat="1" applyFont="1"/>
    <xf numFmtId="0" fontId="9" fillId="0" borderId="0" xfId="0" applyFont="1" applyAlignment="1">
      <alignment horizontal="center"/>
    </xf>
    <xf numFmtId="0" fontId="9" fillId="4" borderId="0" xfId="0" applyFont="1" applyFill="1" applyAlignment="1">
      <alignment horizontal="center"/>
    </xf>
    <xf numFmtId="0" fontId="20" fillId="2" borderId="0" xfId="0" applyFont="1" applyFill="1" applyAlignment="1">
      <alignment horizontal="center"/>
    </xf>
    <xf numFmtId="0" fontId="20" fillId="0" borderId="0" xfId="0" applyFont="1"/>
    <xf numFmtId="0" fontId="20" fillId="2" borderId="0" xfId="0" applyFont="1" applyFill="1"/>
    <xf numFmtId="0" fontId="20" fillId="0" borderId="0" xfId="0" applyFont="1" applyAlignment="1">
      <alignment horizontal="center"/>
    </xf>
    <xf numFmtId="0" fontId="21" fillId="2" borderId="0" xfId="0" applyFont="1" applyFill="1" applyAlignment="1">
      <alignment horizontal="center"/>
    </xf>
    <xf numFmtId="0" fontId="21" fillId="0" borderId="0" xfId="0" applyFont="1"/>
    <xf numFmtId="0" fontId="21" fillId="4" borderId="0" xfId="0" applyFont="1" applyFill="1"/>
    <xf numFmtId="0" fontId="4" fillId="0" borderId="0" xfId="0" applyFont="1" applyAlignment="1">
      <alignment horizontal="right"/>
    </xf>
    <xf numFmtId="0" fontId="22" fillId="0" borderId="0" xfId="0" applyFont="1"/>
    <xf numFmtId="3" fontId="9" fillId="4" borderId="0" xfId="0" applyNumberFormat="1" applyFont="1" applyFill="1" applyAlignment="1">
      <alignment horizontal="right"/>
    </xf>
    <xf numFmtId="0" fontId="16" fillId="7" borderId="0" xfId="0" applyFont="1" applyFill="1" applyAlignment="1">
      <alignment horizontal="right"/>
    </xf>
    <xf numFmtId="0" fontId="4" fillId="0" borderId="1" xfId="0" applyFont="1" applyBorder="1"/>
    <xf numFmtId="0" fontId="9" fillId="0" borderId="1" xfId="0" applyFont="1" applyBorder="1"/>
    <xf numFmtId="0" fontId="9" fillId="0" borderId="2" xfId="0" applyFont="1" applyBorder="1"/>
    <xf numFmtId="0" fontId="9" fillId="0" borderId="1" xfId="0" applyFont="1" applyBorder="1" applyAlignment="1">
      <alignment horizontal="right"/>
    </xf>
    <xf numFmtId="0" fontId="9" fillId="0" borderId="2" xfId="0" applyFont="1" applyBorder="1" applyAlignment="1">
      <alignment horizontal="right"/>
    </xf>
    <xf numFmtId="0" fontId="9" fillId="0" borderId="3" xfId="0" applyFont="1" applyBorder="1" applyAlignment="1">
      <alignment horizontal="right"/>
    </xf>
    <xf numFmtId="0" fontId="9" fillId="0" borderId="4" xfId="0" applyFont="1" applyBorder="1" applyAlignment="1">
      <alignment horizontal="right"/>
    </xf>
    <xf numFmtId="0" fontId="9" fillId="4" borderId="1" xfId="0" applyFont="1" applyFill="1" applyBorder="1" applyAlignment="1">
      <alignment horizontal="right"/>
    </xf>
    <xf numFmtId="0" fontId="9" fillId="4" borderId="2" xfId="0" applyFont="1" applyFill="1" applyBorder="1" applyAlignment="1">
      <alignment horizontal="right"/>
    </xf>
    <xf numFmtId="0" fontId="23" fillId="14" borderId="0" xfId="0" applyFont="1" applyFill="1" applyAlignment="1">
      <alignment horizontal="right"/>
    </xf>
    <xf numFmtId="0" fontId="9" fillId="4" borderId="3" xfId="0" applyFont="1" applyFill="1" applyBorder="1" applyAlignment="1">
      <alignment horizontal="right"/>
    </xf>
    <xf numFmtId="0" fontId="9" fillId="4" borderId="4" xfId="0" applyFont="1" applyFill="1" applyBorder="1" applyAlignment="1">
      <alignment horizontal="right"/>
    </xf>
    <xf numFmtId="0" fontId="9" fillId="0" borderId="3" xfId="0" applyFont="1" applyBorder="1"/>
    <xf numFmtId="0" fontId="9" fillId="0" borderId="4" xfId="0" applyFont="1" applyBorder="1"/>
    <xf numFmtId="0" fontId="9" fillId="5" borderId="0" xfId="0" applyFont="1" applyFill="1"/>
    <xf numFmtId="0" fontId="9" fillId="0" borderId="8" xfId="0" applyFont="1" applyBorder="1" applyAlignment="1">
      <alignment horizontal="right"/>
    </xf>
    <xf numFmtId="0" fontId="9" fillId="0" borderId="6" xfId="0" applyFont="1" applyBorder="1" applyAlignment="1">
      <alignment horizontal="right"/>
    </xf>
    <xf numFmtId="0" fontId="9" fillId="15" borderId="0" xfId="0" applyFont="1" applyFill="1"/>
    <xf numFmtId="0" fontId="24" fillId="0" borderId="9" xfId="0" applyFont="1" applyBorder="1" applyAlignment="1">
      <alignment horizontal="right"/>
    </xf>
    <xf numFmtId="3" fontId="24" fillId="12" borderId="9" xfId="0" applyNumberFormat="1" applyFont="1" applyFill="1" applyBorder="1"/>
    <xf numFmtId="3" fontId="24" fillId="12" borderId="1" xfId="0" applyNumberFormat="1" applyFont="1" applyFill="1" applyBorder="1"/>
    <xf numFmtId="3" fontId="24" fillId="12" borderId="3" xfId="0" applyNumberFormat="1" applyFont="1" applyFill="1" applyBorder="1"/>
    <xf numFmtId="0" fontId="24" fillId="0" borderId="3" xfId="0" applyFont="1" applyBorder="1" applyAlignment="1">
      <alignment horizontal="right"/>
    </xf>
    <xf numFmtId="0" fontId="10" fillId="0" borderId="1" xfId="0" applyFont="1" applyBorder="1" applyAlignment="1">
      <alignment vertical="center"/>
    </xf>
    <xf numFmtId="0" fontId="3" fillId="0" borderId="2" xfId="0" applyFont="1" applyBorder="1"/>
    <xf numFmtId="0" fontId="3" fillId="2" borderId="4" xfId="0" applyFont="1" applyFill="1" applyBorder="1" applyAlignment="1">
      <alignment horizontal="right"/>
    </xf>
    <xf numFmtId="0" fontId="3" fillId="2" borderId="3" xfId="0" applyFont="1" applyFill="1" applyBorder="1" applyAlignment="1">
      <alignment horizontal="center"/>
    </xf>
    <xf numFmtId="0" fontId="3" fillId="7" borderId="4" xfId="0" applyFont="1" applyFill="1" applyBorder="1" applyAlignment="1">
      <alignment horizontal="right"/>
    </xf>
    <xf numFmtId="0" fontId="10" fillId="0" borderId="3" xfId="0" applyFont="1" applyBorder="1" applyAlignment="1">
      <alignment vertical="center"/>
    </xf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right"/>
    </xf>
    <xf numFmtId="0" fontId="3" fillId="0" borderId="1" xfId="0" applyFont="1" applyBorder="1" applyAlignment="1">
      <alignment horizontal="center"/>
    </xf>
    <xf numFmtId="0" fontId="2" fillId="7" borderId="0" xfId="0" applyFont="1" applyFill="1"/>
    <xf numFmtId="0" fontId="1" fillId="7" borderId="0" xfId="0" applyFont="1" applyFill="1" applyAlignment="1">
      <alignment horizontal="center"/>
    </xf>
    <xf numFmtId="0" fontId="25" fillId="0" borderId="0" xfId="0" applyFont="1"/>
    <xf numFmtId="0" fontId="1" fillId="16" borderId="0" xfId="0" applyFont="1" applyFill="1" applyAlignment="1">
      <alignment horizontal="center"/>
    </xf>
    <xf numFmtId="0" fontId="2" fillId="16" borderId="0" xfId="0" applyFont="1" applyFill="1"/>
    <xf numFmtId="3" fontId="3" fillId="5" borderId="1" xfId="0" applyNumberFormat="1" applyFont="1" applyFill="1" applyBorder="1" applyAlignment="1">
      <alignment horizontal="right"/>
    </xf>
    <xf numFmtId="3" fontId="3" fillId="5" borderId="2" xfId="0" applyNumberFormat="1" applyFont="1" applyFill="1" applyBorder="1" applyAlignment="1">
      <alignment horizontal="right"/>
    </xf>
    <xf numFmtId="3" fontId="3" fillId="5" borderId="3" xfId="0" applyNumberFormat="1" applyFont="1" applyFill="1" applyBorder="1" applyAlignment="1">
      <alignment horizontal="right"/>
    </xf>
    <xf numFmtId="3" fontId="3" fillId="5" borderId="4" xfId="0" applyNumberFormat="1" applyFont="1" applyFill="1" applyBorder="1" applyAlignment="1">
      <alignment horizontal="right"/>
    </xf>
    <xf numFmtId="3" fontId="3" fillId="17" borderId="4" xfId="0" applyNumberFormat="1" applyFont="1" applyFill="1" applyBorder="1" applyAlignment="1">
      <alignment horizontal="right"/>
    </xf>
    <xf numFmtId="3" fontId="3" fillId="0" borderId="3" xfId="0" applyNumberFormat="1" applyFont="1" applyBorder="1" applyAlignment="1">
      <alignment horizontal="right"/>
    </xf>
    <xf numFmtId="0" fontId="1" fillId="4" borderId="0" xfId="0" applyFont="1" applyFill="1" applyAlignment="1">
      <alignment horizontal="center"/>
    </xf>
    <xf numFmtId="3" fontId="3" fillId="0" borderId="0" xfId="0" applyNumberFormat="1" applyFont="1" applyAlignment="1">
      <alignment horizontal="right"/>
    </xf>
    <xf numFmtId="3" fontId="3" fillId="0" borderId="1" xfId="0" applyNumberFormat="1" applyFont="1" applyBorder="1" applyAlignment="1">
      <alignment horizontal="right"/>
    </xf>
    <xf numFmtId="3" fontId="3" fillId="7" borderId="0" xfId="0" applyNumberFormat="1" applyFont="1" applyFill="1"/>
    <xf numFmtId="0" fontId="26" fillId="0" borderId="0" xfId="0" applyFont="1"/>
    <xf numFmtId="3" fontId="3" fillId="0" borderId="0" xfId="0" applyNumberFormat="1" applyFont="1"/>
    <xf numFmtId="3" fontId="3" fillId="4" borderId="0" xfId="0" applyNumberFormat="1" applyFont="1" applyFill="1"/>
    <xf numFmtId="0" fontId="4" fillId="4" borderId="0" xfId="0" applyFont="1" applyFill="1"/>
    <xf numFmtId="3" fontId="9" fillId="0" borderId="0" xfId="0" applyNumberFormat="1" applyFont="1" applyAlignment="1">
      <alignment horizontal="right"/>
    </xf>
    <xf numFmtId="3" fontId="3" fillId="0" borderId="2" xfId="0" applyNumberFormat="1" applyFont="1" applyBorder="1" applyAlignment="1">
      <alignment horizontal="right"/>
    </xf>
    <xf numFmtId="3" fontId="9" fillId="0" borderId="0" xfId="0" applyNumberFormat="1" applyFont="1"/>
    <xf numFmtId="3" fontId="12" fillId="0" borderId="0" xfId="0" applyNumberFormat="1" applyFont="1"/>
    <xf numFmtId="0" fontId="12" fillId="0" borderId="0" xfId="0" applyFont="1"/>
    <xf numFmtId="0" fontId="24" fillId="0" borderId="0" xfId="0" applyFont="1" applyAlignment="1">
      <alignment horizontal="right"/>
    </xf>
    <xf numFmtId="0" fontId="24" fillId="0" borderId="0" xfId="0" applyFont="1"/>
    <xf numFmtId="0" fontId="13" fillId="0" borderId="1" xfId="0" applyFont="1" applyBorder="1" applyAlignment="1">
      <alignment horizontal="center"/>
    </xf>
    <xf numFmtId="0" fontId="28" fillId="18" borderId="2" xfId="0" applyFont="1" applyFill="1" applyBorder="1" applyAlignment="1">
      <alignment horizontal="center"/>
    </xf>
    <xf numFmtId="0" fontId="12" fillId="0" borderId="3" xfId="0" applyFont="1" applyBorder="1"/>
    <xf numFmtId="3" fontId="29" fillId="7" borderId="4" xfId="0" applyNumberFormat="1" applyFont="1" applyFill="1" applyBorder="1"/>
    <xf numFmtId="3" fontId="12" fillId="0" borderId="3" xfId="0" applyNumberFormat="1" applyFont="1" applyBorder="1"/>
    <xf numFmtId="0" fontId="30" fillId="19" borderId="0" xfId="0" applyFont="1" applyFill="1" applyAlignment="1">
      <alignment horizontal="center"/>
    </xf>
    <xf numFmtId="177" fontId="30" fillId="20" borderId="0" xfId="0" applyNumberFormat="1" applyFont="1" applyFill="1" applyAlignment="1">
      <alignment horizontal="center"/>
    </xf>
    <xf numFmtId="0" fontId="30" fillId="19" borderId="10" xfId="0" applyFont="1" applyFill="1" applyBorder="1" applyAlignment="1">
      <alignment horizontal="center"/>
    </xf>
    <xf numFmtId="0" fontId="30" fillId="19" borderId="1" xfId="0" applyFont="1" applyFill="1" applyBorder="1" applyAlignment="1">
      <alignment horizontal="center"/>
    </xf>
    <xf numFmtId="177" fontId="30" fillId="20" borderId="10" xfId="0" applyNumberFormat="1" applyFont="1" applyFill="1" applyBorder="1" applyAlignment="1">
      <alignment horizontal="center"/>
    </xf>
    <xf numFmtId="177" fontId="30" fillId="21" borderId="10" xfId="0" applyNumberFormat="1" applyFont="1" applyFill="1" applyBorder="1" applyAlignment="1">
      <alignment horizontal="center"/>
    </xf>
    <xf numFmtId="0" fontId="30" fillId="22" borderId="0" xfId="0" applyFont="1" applyFill="1" applyAlignment="1">
      <alignment horizontal="center"/>
    </xf>
    <xf numFmtId="0" fontId="30" fillId="0" borderId="0" xfId="0" applyFont="1"/>
    <xf numFmtId="0" fontId="30" fillId="4" borderId="0" xfId="0" applyFont="1" applyFill="1"/>
    <xf numFmtId="0" fontId="32" fillId="0" borderId="0" xfId="0" applyFont="1"/>
    <xf numFmtId="3" fontId="33" fillId="0" borderId="0" xfId="0" applyNumberFormat="1" applyFont="1" applyAlignment="1">
      <alignment horizontal="right"/>
    </xf>
    <xf numFmtId="3" fontId="30" fillId="0" borderId="0" xfId="0" applyNumberFormat="1" applyFont="1"/>
    <xf numFmtId="0" fontId="32" fillId="4" borderId="0" xfId="0" applyFont="1" applyFill="1"/>
    <xf numFmtId="3" fontId="33" fillId="0" borderId="0" xfId="0" applyNumberFormat="1" applyFont="1"/>
    <xf numFmtId="3" fontId="34" fillId="0" borderId="0" xfId="0" applyNumberFormat="1" applyFont="1"/>
    <xf numFmtId="3" fontId="34" fillId="0" borderId="0" xfId="0" applyNumberFormat="1" applyFont="1" applyAlignment="1">
      <alignment horizontal="right"/>
    </xf>
    <xf numFmtId="3" fontId="35" fillId="0" borderId="0" xfId="0" applyNumberFormat="1" applyFont="1" applyAlignment="1">
      <alignment horizontal="right"/>
    </xf>
    <xf numFmtId="0" fontId="9" fillId="5" borderId="0" xfId="0" applyFont="1" applyFill="1" applyAlignment="1">
      <alignment horizontal="left"/>
    </xf>
    <xf numFmtId="0" fontId="0" fillId="0" borderId="0" xfId="0"/>
    <xf numFmtId="0" fontId="9" fillId="6" borderId="0" xfId="0" applyFont="1" applyFill="1" applyAlignment="1">
      <alignment horizontal="left"/>
    </xf>
    <xf numFmtId="0" fontId="9" fillId="9" borderId="0" xfId="0" applyFont="1" applyFill="1" applyAlignment="1">
      <alignment horizontal="left"/>
    </xf>
    <xf numFmtId="0" fontId="9" fillId="7" borderId="0" xfId="0" applyFont="1" applyFill="1" applyAlignment="1">
      <alignment horizontal="left"/>
    </xf>
    <xf numFmtId="0" fontId="9" fillId="7" borderId="0" xfId="0" applyFont="1" applyFill="1" applyAlignment="1">
      <alignment horizontal="center"/>
    </xf>
    <xf numFmtId="0" fontId="11" fillId="7" borderId="0" xfId="0" applyFont="1" applyFill="1" applyAlignment="1">
      <alignment horizontal="center"/>
    </xf>
    <xf numFmtId="0" fontId="11" fillId="7" borderId="0" xfId="0" applyFont="1" applyFill="1" applyAlignment="1">
      <alignment horizontal="left"/>
    </xf>
    <xf numFmtId="0" fontId="13" fillId="7" borderId="0" xfId="0" applyFont="1" applyFill="1" applyAlignment="1">
      <alignment horizontal="center"/>
    </xf>
    <xf numFmtId="3" fontId="13" fillId="7" borderId="0" xfId="0" applyNumberFormat="1" applyFont="1" applyFill="1" applyAlignment="1">
      <alignment horizontal="center"/>
    </xf>
    <xf numFmtId="0" fontId="12" fillId="7" borderId="0" xfId="0" applyFont="1" applyFill="1" applyAlignment="1">
      <alignment horizontal="center"/>
    </xf>
    <xf numFmtId="0" fontId="3" fillId="0" borderId="5" xfId="0" applyFont="1" applyBorder="1" applyAlignment="1">
      <alignment horizontal="left" vertical="top"/>
    </xf>
    <xf numFmtId="0" fontId="19" fillId="0" borderId="5" xfId="0" applyFont="1" applyBorder="1"/>
    <xf numFmtId="0" fontId="19" fillId="0" borderId="3" xfId="0" applyFont="1" applyBorder="1"/>
    <xf numFmtId="0" fontId="4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4" fillId="7" borderId="0" xfId="0" applyFont="1" applyFill="1" applyAlignment="1">
      <alignment horizontal="center"/>
    </xf>
    <xf numFmtId="0" fontId="6" fillId="0" borderId="0" xfId="0" applyFont="1"/>
    <xf numFmtId="0" fontId="27" fillId="0" borderId="0" xfId="0" applyFont="1" applyAlignment="1">
      <alignment horizontal="center"/>
    </xf>
    <xf numFmtId="0" fontId="31" fillId="0" borderId="0" xfId="0" applyFont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customschemas.google.com/relationships/workbookmetadata" Target="metadata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000"/>
  <sheetViews>
    <sheetView tabSelected="1" workbookViewId="0"/>
  </sheetViews>
  <sheetFormatPr defaultColWidth="12.5703125" defaultRowHeight="15" customHeight="1"/>
  <cols>
    <col min="1" max="1" width="12.5703125" customWidth="1"/>
    <col min="2" max="4" width="13.42578125" customWidth="1"/>
    <col min="5" max="6" width="12.5703125" customWidth="1"/>
  </cols>
  <sheetData>
    <row r="1" spans="1:5" ht="37.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</row>
    <row r="2" spans="1:5" ht="15.75" customHeight="1">
      <c r="A2" s="3" t="s">
        <v>5</v>
      </c>
      <c r="B2" s="4" t="s">
        <v>6</v>
      </c>
      <c r="C2" s="3"/>
      <c r="D2" s="3" t="s">
        <v>7</v>
      </c>
      <c r="E2" s="5" t="s">
        <v>8</v>
      </c>
    </row>
    <row r="3" spans="1:5" ht="15.75" customHeight="1">
      <c r="A3" s="3" t="s">
        <v>9</v>
      </c>
      <c r="B3" s="4" t="s">
        <v>10</v>
      </c>
      <c r="C3" s="3"/>
      <c r="D3" s="3">
        <v>12</v>
      </c>
      <c r="E3" s="5" t="s">
        <v>8</v>
      </c>
    </row>
    <row r="4" spans="1:5" ht="15.75" customHeight="1">
      <c r="A4" s="3" t="s">
        <v>11</v>
      </c>
      <c r="B4" s="4" t="s">
        <v>12</v>
      </c>
      <c r="C4" s="3"/>
      <c r="D4" s="3">
        <v>8</v>
      </c>
      <c r="E4" s="5" t="s">
        <v>8</v>
      </c>
    </row>
    <row r="5" spans="1:5" ht="15.75" customHeight="1">
      <c r="A5" s="3" t="s">
        <v>13</v>
      </c>
      <c r="B5" s="4" t="s">
        <v>14</v>
      </c>
      <c r="C5" s="3"/>
      <c r="D5" s="3">
        <v>6</v>
      </c>
      <c r="E5" s="5" t="s">
        <v>8</v>
      </c>
    </row>
    <row r="6" spans="1:5" ht="15.75" customHeight="1">
      <c r="A6" s="3" t="s">
        <v>15</v>
      </c>
      <c r="B6" s="4" t="s">
        <v>16</v>
      </c>
      <c r="C6" s="3"/>
      <c r="D6" s="3">
        <v>6</v>
      </c>
      <c r="E6" s="5" t="s">
        <v>8</v>
      </c>
    </row>
    <row r="7" spans="1:5" ht="15.75" customHeight="1">
      <c r="A7" s="3" t="s">
        <v>17</v>
      </c>
      <c r="B7" s="4" t="s">
        <v>18</v>
      </c>
      <c r="C7" s="3"/>
      <c r="D7" s="3">
        <v>4</v>
      </c>
      <c r="E7" s="5" t="s">
        <v>8</v>
      </c>
    </row>
    <row r="8" spans="1:5" ht="15.75" customHeight="1">
      <c r="A8" s="3" t="s">
        <v>19</v>
      </c>
      <c r="B8" s="4" t="s">
        <v>20</v>
      </c>
      <c r="C8" s="3"/>
      <c r="D8" s="3">
        <v>4</v>
      </c>
      <c r="E8" s="5" t="s">
        <v>8</v>
      </c>
    </row>
    <row r="9" spans="1:5" ht="15.75" customHeight="1">
      <c r="A9" s="3" t="s">
        <v>21</v>
      </c>
      <c r="B9" s="4" t="s">
        <v>22</v>
      </c>
      <c r="C9" s="3"/>
      <c r="D9" s="3">
        <v>4</v>
      </c>
      <c r="E9" s="5" t="s">
        <v>8</v>
      </c>
    </row>
    <row r="10" spans="1:5" ht="15.75" customHeight="1">
      <c r="A10" s="3" t="s">
        <v>23</v>
      </c>
      <c r="B10" s="4" t="s">
        <v>24</v>
      </c>
      <c r="C10" s="3"/>
      <c r="D10" s="3">
        <v>2</v>
      </c>
      <c r="E10" s="5" t="s">
        <v>8</v>
      </c>
    </row>
    <row r="11" spans="1:5" ht="15.75" customHeight="1">
      <c r="A11" s="3" t="s">
        <v>25</v>
      </c>
      <c r="B11" s="4" t="s">
        <v>26</v>
      </c>
      <c r="C11" s="3"/>
      <c r="D11" s="3">
        <v>2</v>
      </c>
      <c r="E11" s="5" t="s">
        <v>8</v>
      </c>
    </row>
    <row r="12" spans="1:5" ht="15.75" customHeight="1">
      <c r="A12" s="3" t="s">
        <v>27</v>
      </c>
      <c r="B12" s="4" t="s">
        <v>28</v>
      </c>
      <c r="C12" s="3"/>
      <c r="D12" s="3">
        <v>2</v>
      </c>
      <c r="E12" s="5" t="s">
        <v>8</v>
      </c>
    </row>
    <row r="13" spans="1:5" ht="15.75" customHeight="1">
      <c r="A13" s="3" t="s">
        <v>29</v>
      </c>
      <c r="B13" s="4" t="s">
        <v>30</v>
      </c>
      <c r="C13" s="3"/>
      <c r="D13" s="3">
        <v>3</v>
      </c>
      <c r="E13" s="5" t="s">
        <v>8</v>
      </c>
    </row>
    <row r="14" spans="1:5" ht="15.75" customHeight="1">
      <c r="A14" s="3" t="s">
        <v>31</v>
      </c>
      <c r="B14" s="4" t="s">
        <v>32</v>
      </c>
      <c r="C14" s="3"/>
      <c r="D14" s="3">
        <v>2</v>
      </c>
      <c r="E14" s="5" t="s">
        <v>8</v>
      </c>
    </row>
    <row r="15" spans="1:5" ht="15.75" customHeight="1">
      <c r="A15" s="3" t="s">
        <v>33</v>
      </c>
      <c r="B15" s="4" t="s">
        <v>34</v>
      </c>
      <c r="C15" s="3"/>
      <c r="D15" s="3">
        <v>2</v>
      </c>
      <c r="E15" s="5" t="s">
        <v>8</v>
      </c>
    </row>
    <row r="16" spans="1:5" ht="15.75" customHeight="1">
      <c r="A16" s="3" t="s">
        <v>35</v>
      </c>
      <c r="B16" s="4" t="s">
        <v>36</v>
      </c>
      <c r="C16" s="3"/>
      <c r="D16" s="3">
        <v>1</v>
      </c>
      <c r="E16" s="5" t="s">
        <v>8</v>
      </c>
    </row>
    <row r="17" spans="1:5" ht="15.75" customHeight="1">
      <c r="A17" s="3" t="s">
        <v>37</v>
      </c>
      <c r="B17" s="4" t="s">
        <v>38</v>
      </c>
      <c r="C17" s="3"/>
      <c r="D17" s="3">
        <v>12</v>
      </c>
      <c r="E17" s="5" t="s">
        <v>8</v>
      </c>
    </row>
    <row r="18" spans="1:5" ht="15.75" customHeight="1">
      <c r="A18" s="3" t="s">
        <v>39</v>
      </c>
      <c r="B18" s="4" t="s">
        <v>40</v>
      </c>
      <c r="C18" s="3"/>
      <c r="D18" s="3">
        <v>2</v>
      </c>
      <c r="E18" s="5" t="s">
        <v>41</v>
      </c>
    </row>
    <row r="19" spans="1:5" ht="15.75" customHeight="1">
      <c r="A19" s="3" t="s">
        <v>42</v>
      </c>
      <c r="B19" s="4" t="s">
        <v>43</v>
      </c>
      <c r="C19" s="3"/>
      <c r="D19" s="3">
        <v>2</v>
      </c>
      <c r="E19" s="5" t="s">
        <v>8</v>
      </c>
    </row>
    <row r="20" spans="1:5" ht="15.75" customHeight="1">
      <c r="E20" s="6"/>
    </row>
    <row r="21" spans="1:5" ht="15.75" customHeight="1">
      <c r="E21" s="6"/>
    </row>
    <row r="22" spans="1:5" ht="15.75" customHeight="1">
      <c r="E22" s="6"/>
    </row>
    <row r="23" spans="1:5" ht="15.75" customHeight="1">
      <c r="A23" s="7" t="s">
        <v>44</v>
      </c>
      <c r="E23" s="6"/>
    </row>
    <row r="24" spans="1:5" ht="15.75" customHeight="1">
      <c r="A24" s="8" t="s">
        <v>45</v>
      </c>
      <c r="B24" s="8" t="s">
        <v>46</v>
      </c>
      <c r="C24" s="8"/>
      <c r="D24" s="9">
        <v>24</v>
      </c>
      <c r="E24" s="10" t="s">
        <v>8</v>
      </c>
    </row>
    <row r="25" spans="1:5" ht="15.75" customHeight="1">
      <c r="A25" s="8" t="s">
        <v>47</v>
      </c>
      <c r="B25" s="8" t="s">
        <v>48</v>
      </c>
      <c r="C25" s="8" t="s">
        <v>49</v>
      </c>
      <c r="D25" s="9">
        <v>12</v>
      </c>
      <c r="E25" s="10" t="s">
        <v>8</v>
      </c>
    </row>
    <row r="26" spans="1:5" ht="15.75" customHeight="1">
      <c r="A26" s="8" t="s">
        <v>50</v>
      </c>
      <c r="B26" s="8" t="s">
        <v>51</v>
      </c>
      <c r="C26" s="8"/>
      <c r="D26" s="9">
        <v>12</v>
      </c>
      <c r="E26" s="10" t="s">
        <v>8</v>
      </c>
    </row>
    <row r="27" spans="1:5" ht="15.75" customHeight="1">
      <c r="A27" s="8" t="s">
        <v>52</v>
      </c>
      <c r="B27" s="8" t="s">
        <v>52</v>
      </c>
      <c r="C27" s="8" t="s">
        <v>53</v>
      </c>
      <c r="D27" s="9">
        <v>16</v>
      </c>
      <c r="E27" s="10" t="s">
        <v>8</v>
      </c>
    </row>
    <row r="28" spans="1:5" ht="15.75" customHeight="1">
      <c r="A28" s="8" t="s">
        <v>54</v>
      </c>
      <c r="B28" s="8" t="s">
        <v>54</v>
      </c>
      <c r="C28" s="11" t="s">
        <v>55</v>
      </c>
      <c r="D28" s="9">
        <v>3</v>
      </c>
      <c r="E28" s="10" t="s">
        <v>56</v>
      </c>
    </row>
    <row r="29" spans="1:5" ht="15.75" customHeight="1">
      <c r="A29" s="8" t="s">
        <v>57</v>
      </c>
      <c r="B29" s="8"/>
      <c r="C29" s="11" t="s">
        <v>58</v>
      </c>
      <c r="D29" s="9">
        <v>8</v>
      </c>
      <c r="E29" s="10" t="s">
        <v>8</v>
      </c>
    </row>
    <row r="30" spans="1:5" ht="15.75" customHeight="1">
      <c r="A30" s="8" t="s">
        <v>59</v>
      </c>
      <c r="B30" s="8"/>
      <c r="C30" s="11" t="s">
        <v>58</v>
      </c>
      <c r="D30" s="9">
        <v>12</v>
      </c>
      <c r="E30" s="10" t="s">
        <v>8</v>
      </c>
    </row>
    <row r="31" spans="1:5" ht="15.75" customHeight="1">
      <c r="A31" s="8" t="s">
        <v>60</v>
      </c>
      <c r="B31" s="8" t="s">
        <v>61</v>
      </c>
      <c r="C31" s="8" t="s">
        <v>62</v>
      </c>
      <c r="D31" s="9">
        <v>28</v>
      </c>
      <c r="E31" s="10" t="s">
        <v>8</v>
      </c>
    </row>
    <row r="32" spans="1:5" ht="15.75" customHeight="1">
      <c r="A32" s="8" t="s">
        <v>63</v>
      </c>
      <c r="B32" s="8" t="s">
        <v>64</v>
      </c>
      <c r="C32" s="8" t="s">
        <v>62</v>
      </c>
      <c r="D32" s="9">
        <v>18</v>
      </c>
      <c r="E32" s="10" t="s">
        <v>8</v>
      </c>
    </row>
    <row r="33" spans="1:5" ht="15.75" customHeight="1">
      <c r="A33" s="8" t="s">
        <v>65</v>
      </c>
      <c r="B33" s="8" t="s">
        <v>66</v>
      </c>
      <c r="C33" s="8" t="s">
        <v>67</v>
      </c>
      <c r="D33" s="9">
        <v>4</v>
      </c>
      <c r="E33" s="10" t="s">
        <v>8</v>
      </c>
    </row>
    <row r="34" spans="1:5" ht="15.75" customHeight="1">
      <c r="A34" s="8" t="s">
        <v>68</v>
      </c>
      <c r="B34" s="8" t="s">
        <v>69</v>
      </c>
      <c r="C34" s="8"/>
      <c r="D34" s="9">
        <v>4</v>
      </c>
      <c r="E34" s="10" t="s">
        <v>8</v>
      </c>
    </row>
    <row r="35" spans="1:5" ht="15.75" customHeight="1">
      <c r="A35" s="8" t="s">
        <v>59</v>
      </c>
      <c r="B35" s="8" t="s">
        <v>70</v>
      </c>
      <c r="C35" s="8"/>
      <c r="D35" s="9">
        <v>12</v>
      </c>
      <c r="E35" s="10" t="s">
        <v>8</v>
      </c>
    </row>
    <row r="36" spans="1:5" ht="15.75" customHeight="1">
      <c r="A36" s="8" t="s">
        <v>71</v>
      </c>
      <c r="B36" s="8" t="s">
        <v>72</v>
      </c>
      <c r="C36" s="8"/>
      <c r="D36" s="9">
        <v>6</v>
      </c>
      <c r="E36" s="10" t="s">
        <v>8</v>
      </c>
    </row>
    <row r="37" spans="1:5" ht="15.75" customHeight="1">
      <c r="A37" s="8" t="s">
        <v>73</v>
      </c>
      <c r="B37" s="8" t="s">
        <v>74</v>
      </c>
      <c r="C37" s="8" t="s">
        <v>75</v>
      </c>
      <c r="D37" s="9">
        <v>9</v>
      </c>
      <c r="E37" s="10" t="s">
        <v>8</v>
      </c>
    </row>
    <row r="38" spans="1:5" ht="15.75" customHeight="1">
      <c r="A38" s="8" t="s">
        <v>76</v>
      </c>
      <c r="B38" s="8" t="s">
        <v>77</v>
      </c>
      <c r="C38" s="8"/>
      <c r="D38" s="9">
        <v>9</v>
      </c>
      <c r="E38" s="10" t="s">
        <v>8</v>
      </c>
    </row>
    <row r="39" spans="1:5" ht="15.75" customHeight="1">
      <c r="A39" s="8" t="s">
        <v>78</v>
      </c>
      <c r="B39" s="8" t="s">
        <v>79</v>
      </c>
      <c r="C39" s="8"/>
      <c r="D39" s="9">
        <v>9</v>
      </c>
      <c r="E39" s="10" t="s">
        <v>8</v>
      </c>
    </row>
    <row r="40" spans="1:5" ht="15.75" customHeight="1">
      <c r="A40" s="8" t="s">
        <v>48</v>
      </c>
      <c r="B40" s="8" t="s">
        <v>80</v>
      </c>
      <c r="C40" s="8"/>
      <c r="D40" s="9">
        <v>8</v>
      </c>
      <c r="E40" s="10" t="s">
        <v>8</v>
      </c>
    </row>
    <row r="41" spans="1:5" ht="15.75" customHeight="1">
      <c r="A41" s="8" t="s">
        <v>81</v>
      </c>
      <c r="B41" s="8" t="s">
        <v>82</v>
      </c>
      <c r="C41" s="8"/>
      <c r="D41" s="9">
        <v>8</v>
      </c>
      <c r="E41" s="10" t="s">
        <v>8</v>
      </c>
    </row>
    <row r="42" spans="1:5" ht="15.75" customHeight="1">
      <c r="A42" s="8" t="s">
        <v>83</v>
      </c>
      <c r="B42" s="8"/>
      <c r="C42" s="8"/>
      <c r="D42" s="8"/>
      <c r="E42" s="10" t="s">
        <v>8</v>
      </c>
    </row>
    <row r="43" spans="1:5" ht="15.75" customHeight="1">
      <c r="A43" s="8" t="s">
        <v>84</v>
      </c>
      <c r="B43" s="8"/>
      <c r="C43" s="8"/>
      <c r="D43" s="8"/>
      <c r="E43" s="10" t="s">
        <v>8</v>
      </c>
    </row>
    <row r="44" spans="1:5" ht="15.75" customHeight="1">
      <c r="A44" s="8" t="s">
        <v>85</v>
      </c>
      <c r="B44" s="8" t="s">
        <v>47</v>
      </c>
      <c r="C44" s="8" t="s">
        <v>86</v>
      </c>
      <c r="D44" s="9">
        <v>12</v>
      </c>
      <c r="E44" s="10" t="s">
        <v>8</v>
      </c>
    </row>
    <row r="45" spans="1:5" ht="15.75" customHeight="1">
      <c r="A45" s="8" t="s">
        <v>87</v>
      </c>
      <c r="B45" s="8" t="s">
        <v>88</v>
      </c>
      <c r="C45" s="8"/>
      <c r="D45" s="9">
        <v>9</v>
      </c>
      <c r="E45" s="10" t="s">
        <v>8</v>
      </c>
    </row>
    <row r="46" spans="1:5" ht="15.75" customHeight="1">
      <c r="A46" s="8" t="s">
        <v>89</v>
      </c>
      <c r="B46" s="8" t="s">
        <v>90</v>
      </c>
      <c r="C46" s="8"/>
      <c r="D46" s="9">
        <v>8</v>
      </c>
      <c r="E46" s="10" t="s">
        <v>8</v>
      </c>
    </row>
    <row r="47" spans="1:5" ht="15.75" customHeight="1">
      <c r="A47" s="8" t="s">
        <v>91</v>
      </c>
      <c r="B47" s="8" t="s">
        <v>92</v>
      </c>
      <c r="C47" s="8"/>
      <c r="D47" s="9">
        <v>6</v>
      </c>
      <c r="E47" s="10" t="s">
        <v>8</v>
      </c>
    </row>
    <row r="48" spans="1:5" ht="15.75" customHeight="1">
      <c r="A48" s="8" t="s">
        <v>93</v>
      </c>
      <c r="B48" s="8" t="s">
        <v>63</v>
      </c>
      <c r="C48" s="8" t="s">
        <v>94</v>
      </c>
      <c r="D48" s="9">
        <v>24</v>
      </c>
      <c r="E48" s="10" t="s">
        <v>8</v>
      </c>
    </row>
    <row r="49" spans="1:5" ht="15.75" customHeight="1">
      <c r="A49" s="8" t="s">
        <v>60</v>
      </c>
      <c r="B49" s="8" t="s">
        <v>61</v>
      </c>
      <c r="C49" s="8"/>
      <c r="D49" s="9">
        <v>24</v>
      </c>
      <c r="E49" s="10" t="s">
        <v>8</v>
      </c>
    </row>
    <row r="50" spans="1:5" ht="15.75" customHeight="1">
      <c r="A50" s="8" t="s">
        <v>95</v>
      </c>
      <c r="B50" s="8" t="s">
        <v>96</v>
      </c>
      <c r="C50" s="8"/>
      <c r="D50" s="9">
        <v>24</v>
      </c>
      <c r="E50" s="10" t="s">
        <v>8</v>
      </c>
    </row>
    <row r="51" spans="1:5" ht="15.75" customHeight="1">
      <c r="E51" s="6"/>
    </row>
    <row r="52" spans="1:5" ht="15.75" customHeight="1">
      <c r="E52" s="6"/>
    </row>
    <row r="53" spans="1:5" ht="15.75" customHeight="1">
      <c r="A53" s="12" t="s">
        <v>97</v>
      </c>
      <c r="B53" s="13" t="s">
        <v>98</v>
      </c>
      <c r="C53" s="13" t="s">
        <v>99</v>
      </c>
      <c r="D53" s="13">
        <v>4</v>
      </c>
      <c r="E53" s="6" t="s">
        <v>8</v>
      </c>
    </row>
    <row r="54" spans="1:5" ht="15.75" customHeight="1">
      <c r="A54" s="12" t="s">
        <v>100</v>
      </c>
      <c r="B54" s="13" t="s">
        <v>101</v>
      </c>
      <c r="C54" s="13" t="s">
        <v>99</v>
      </c>
      <c r="D54" s="13">
        <v>2</v>
      </c>
      <c r="E54" s="6" t="s">
        <v>8</v>
      </c>
    </row>
    <row r="55" spans="1:5" ht="15.75" customHeight="1">
      <c r="E55" s="6"/>
    </row>
    <row r="56" spans="1:5" ht="15.75" customHeight="1">
      <c r="A56" s="13" t="s">
        <v>102</v>
      </c>
      <c r="B56" s="13" t="s">
        <v>103</v>
      </c>
      <c r="C56" s="13" t="s">
        <v>104</v>
      </c>
      <c r="E56" s="6" t="s">
        <v>8</v>
      </c>
    </row>
    <row r="57" spans="1:5" ht="15.75" customHeight="1">
      <c r="E57" s="6"/>
    </row>
    <row r="58" spans="1:5" ht="15.75" customHeight="1">
      <c r="E58" s="6"/>
    </row>
    <row r="59" spans="1:5" ht="15.75" customHeight="1">
      <c r="E59" s="6"/>
    </row>
    <row r="60" spans="1:5" ht="15.75" customHeight="1">
      <c r="E60" s="6"/>
    </row>
    <row r="61" spans="1:5" ht="15.75" customHeight="1">
      <c r="E61" s="6"/>
    </row>
    <row r="62" spans="1:5" ht="15.75" customHeight="1">
      <c r="E62" s="6"/>
    </row>
    <row r="63" spans="1:5" ht="15.75" customHeight="1">
      <c r="E63" s="6"/>
    </row>
    <row r="64" spans="1:5" ht="15.75" customHeight="1">
      <c r="E64" s="6"/>
    </row>
    <row r="65" spans="5:5" ht="15.75" customHeight="1">
      <c r="E65" s="6"/>
    </row>
    <row r="66" spans="5:5" ht="15.75" customHeight="1">
      <c r="E66" s="6"/>
    </row>
    <row r="67" spans="5:5" ht="15.75" customHeight="1">
      <c r="E67" s="6"/>
    </row>
    <row r="68" spans="5:5" ht="15.75" customHeight="1">
      <c r="E68" s="6"/>
    </row>
    <row r="69" spans="5:5" ht="15.75" customHeight="1">
      <c r="E69" s="6"/>
    </row>
    <row r="70" spans="5:5" ht="15.75" customHeight="1">
      <c r="E70" s="6"/>
    </row>
    <row r="71" spans="5:5" ht="15.75" customHeight="1">
      <c r="E71" s="6"/>
    </row>
    <row r="72" spans="5:5" ht="15.75" customHeight="1">
      <c r="E72" s="6"/>
    </row>
    <row r="73" spans="5:5" ht="15.75" customHeight="1">
      <c r="E73" s="6"/>
    </row>
    <row r="74" spans="5:5" ht="15.75" customHeight="1">
      <c r="E74" s="6"/>
    </row>
    <row r="75" spans="5:5" ht="15.75" customHeight="1">
      <c r="E75" s="6"/>
    </row>
    <row r="76" spans="5:5" ht="15.75" customHeight="1">
      <c r="E76" s="6"/>
    </row>
    <row r="77" spans="5:5" ht="15.75" customHeight="1">
      <c r="E77" s="6"/>
    </row>
    <row r="78" spans="5:5" ht="15.75" customHeight="1">
      <c r="E78" s="6"/>
    </row>
    <row r="79" spans="5:5" ht="15.75" customHeight="1">
      <c r="E79" s="6"/>
    </row>
    <row r="80" spans="5:5" ht="15.75" customHeight="1">
      <c r="E80" s="6"/>
    </row>
    <row r="81" spans="5:5" ht="15.75" customHeight="1">
      <c r="E81" s="6"/>
    </row>
    <row r="82" spans="5:5" ht="15.75" customHeight="1">
      <c r="E82" s="6"/>
    </row>
    <row r="83" spans="5:5" ht="15.75" customHeight="1">
      <c r="E83" s="6"/>
    </row>
    <row r="84" spans="5:5" ht="15.75" customHeight="1">
      <c r="E84" s="6"/>
    </row>
    <row r="85" spans="5:5" ht="15.75" customHeight="1">
      <c r="E85" s="6"/>
    </row>
    <row r="86" spans="5:5" ht="15.75" customHeight="1">
      <c r="E86" s="6"/>
    </row>
    <row r="87" spans="5:5" ht="15.75" customHeight="1">
      <c r="E87" s="6"/>
    </row>
    <row r="88" spans="5:5" ht="15.75" customHeight="1">
      <c r="E88" s="6"/>
    </row>
    <row r="89" spans="5:5" ht="15.75" customHeight="1">
      <c r="E89" s="6"/>
    </row>
    <row r="90" spans="5:5" ht="15.75" customHeight="1">
      <c r="E90" s="6"/>
    </row>
    <row r="91" spans="5:5" ht="15.75" customHeight="1">
      <c r="E91" s="6"/>
    </row>
    <row r="92" spans="5:5" ht="15.75" customHeight="1">
      <c r="E92" s="6"/>
    </row>
    <row r="93" spans="5:5" ht="15.75" customHeight="1">
      <c r="E93" s="6"/>
    </row>
    <row r="94" spans="5:5" ht="15.75" customHeight="1">
      <c r="E94" s="6"/>
    </row>
    <row r="95" spans="5:5" ht="15.75" customHeight="1">
      <c r="E95" s="6"/>
    </row>
    <row r="96" spans="5:5" ht="15.75" customHeight="1">
      <c r="E96" s="6"/>
    </row>
    <row r="97" spans="5:5" ht="15.75" customHeight="1">
      <c r="E97" s="6"/>
    </row>
    <row r="98" spans="5:5" ht="15.75" customHeight="1">
      <c r="E98" s="6"/>
    </row>
    <row r="99" spans="5:5" ht="15.75" customHeight="1">
      <c r="E99" s="6"/>
    </row>
    <row r="100" spans="5:5" ht="15.75" customHeight="1">
      <c r="E100" s="6"/>
    </row>
    <row r="101" spans="5:5" ht="15.75" customHeight="1">
      <c r="E101" s="6"/>
    </row>
    <row r="102" spans="5:5" ht="15.75" customHeight="1">
      <c r="E102" s="6"/>
    </row>
    <row r="103" spans="5:5" ht="15.75" customHeight="1">
      <c r="E103" s="6"/>
    </row>
    <row r="104" spans="5:5" ht="15.75" customHeight="1">
      <c r="E104" s="6"/>
    </row>
    <row r="105" spans="5:5" ht="15.75" customHeight="1">
      <c r="E105" s="6"/>
    </row>
    <row r="106" spans="5:5" ht="15.75" customHeight="1">
      <c r="E106" s="6"/>
    </row>
    <row r="107" spans="5:5" ht="15.75" customHeight="1">
      <c r="E107" s="6"/>
    </row>
    <row r="108" spans="5:5" ht="15.75" customHeight="1">
      <c r="E108" s="6"/>
    </row>
    <row r="109" spans="5:5" ht="15.75" customHeight="1">
      <c r="E109" s="6"/>
    </row>
    <row r="110" spans="5:5" ht="15.75" customHeight="1">
      <c r="E110" s="6"/>
    </row>
    <row r="111" spans="5:5" ht="15.75" customHeight="1">
      <c r="E111" s="6"/>
    </row>
    <row r="112" spans="5:5" ht="15.75" customHeight="1">
      <c r="E112" s="6"/>
    </row>
    <row r="113" spans="5:5" ht="15.75" customHeight="1">
      <c r="E113" s="6"/>
    </row>
    <row r="114" spans="5:5" ht="15.75" customHeight="1">
      <c r="E114" s="6"/>
    </row>
    <row r="115" spans="5:5" ht="15.75" customHeight="1">
      <c r="E115" s="6"/>
    </row>
    <row r="116" spans="5:5" ht="15.75" customHeight="1">
      <c r="E116" s="6"/>
    </row>
    <row r="117" spans="5:5" ht="15.75" customHeight="1">
      <c r="E117" s="6"/>
    </row>
    <row r="118" spans="5:5" ht="15.75" customHeight="1">
      <c r="E118" s="6"/>
    </row>
    <row r="119" spans="5:5" ht="15.75" customHeight="1">
      <c r="E119" s="6"/>
    </row>
    <row r="120" spans="5:5" ht="15.75" customHeight="1">
      <c r="E120" s="6"/>
    </row>
    <row r="121" spans="5:5" ht="15.75" customHeight="1">
      <c r="E121" s="6"/>
    </row>
    <row r="122" spans="5:5" ht="15.75" customHeight="1">
      <c r="E122" s="6"/>
    </row>
    <row r="123" spans="5:5" ht="15.75" customHeight="1">
      <c r="E123" s="6"/>
    </row>
    <row r="124" spans="5:5" ht="15.75" customHeight="1">
      <c r="E124" s="6"/>
    </row>
    <row r="125" spans="5:5" ht="15.75" customHeight="1">
      <c r="E125" s="6"/>
    </row>
    <row r="126" spans="5:5" ht="15.75" customHeight="1">
      <c r="E126" s="6"/>
    </row>
    <row r="127" spans="5:5" ht="15.75" customHeight="1">
      <c r="E127" s="6"/>
    </row>
    <row r="128" spans="5:5" ht="15.75" customHeight="1">
      <c r="E128" s="6"/>
    </row>
    <row r="129" spans="5:5" ht="15.75" customHeight="1">
      <c r="E129" s="6"/>
    </row>
    <row r="130" spans="5:5" ht="15.75" customHeight="1">
      <c r="E130" s="6"/>
    </row>
    <row r="131" spans="5:5" ht="15.75" customHeight="1">
      <c r="E131" s="6"/>
    </row>
    <row r="132" spans="5:5" ht="15.75" customHeight="1">
      <c r="E132" s="6"/>
    </row>
    <row r="133" spans="5:5" ht="15.75" customHeight="1">
      <c r="E133" s="6"/>
    </row>
    <row r="134" spans="5:5" ht="15.75" customHeight="1">
      <c r="E134" s="6"/>
    </row>
    <row r="135" spans="5:5" ht="15.75" customHeight="1">
      <c r="E135" s="6"/>
    </row>
    <row r="136" spans="5:5" ht="15.75" customHeight="1">
      <c r="E136" s="6"/>
    </row>
    <row r="137" spans="5:5" ht="15.75" customHeight="1">
      <c r="E137" s="6"/>
    </row>
    <row r="138" spans="5:5" ht="15.75" customHeight="1">
      <c r="E138" s="6"/>
    </row>
    <row r="139" spans="5:5" ht="15.75" customHeight="1">
      <c r="E139" s="6"/>
    </row>
    <row r="140" spans="5:5" ht="15.75" customHeight="1">
      <c r="E140" s="6"/>
    </row>
    <row r="141" spans="5:5" ht="15.75" customHeight="1">
      <c r="E141" s="6"/>
    </row>
    <row r="142" spans="5:5" ht="15.75" customHeight="1">
      <c r="E142" s="6"/>
    </row>
    <row r="143" spans="5:5" ht="15.75" customHeight="1">
      <c r="E143" s="6"/>
    </row>
    <row r="144" spans="5:5" ht="15.75" customHeight="1">
      <c r="E144" s="6"/>
    </row>
    <row r="145" spans="5:5" ht="15.75" customHeight="1">
      <c r="E145" s="6"/>
    </row>
    <row r="146" spans="5:5" ht="15.75" customHeight="1">
      <c r="E146" s="6"/>
    </row>
    <row r="147" spans="5:5" ht="15.75" customHeight="1">
      <c r="E147" s="6"/>
    </row>
    <row r="148" spans="5:5" ht="15.75" customHeight="1">
      <c r="E148" s="6"/>
    </row>
    <row r="149" spans="5:5" ht="15.75" customHeight="1">
      <c r="E149" s="6"/>
    </row>
    <row r="150" spans="5:5" ht="15.75" customHeight="1">
      <c r="E150" s="6"/>
    </row>
    <row r="151" spans="5:5" ht="15.75" customHeight="1">
      <c r="E151" s="6"/>
    </row>
    <row r="152" spans="5:5" ht="15.75" customHeight="1">
      <c r="E152" s="6"/>
    </row>
    <row r="153" spans="5:5" ht="15.75" customHeight="1">
      <c r="E153" s="6"/>
    </row>
    <row r="154" spans="5:5" ht="15.75" customHeight="1">
      <c r="E154" s="6"/>
    </row>
    <row r="155" spans="5:5" ht="15.75" customHeight="1">
      <c r="E155" s="6"/>
    </row>
    <row r="156" spans="5:5" ht="15.75" customHeight="1">
      <c r="E156" s="6"/>
    </row>
    <row r="157" spans="5:5" ht="15.75" customHeight="1">
      <c r="E157" s="6"/>
    </row>
    <row r="158" spans="5:5" ht="15.75" customHeight="1">
      <c r="E158" s="6"/>
    </row>
    <row r="159" spans="5:5" ht="15.75" customHeight="1">
      <c r="E159" s="6"/>
    </row>
    <row r="160" spans="5:5" ht="15.75" customHeight="1">
      <c r="E160" s="6"/>
    </row>
    <row r="161" spans="5:5" ht="15.75" customHeight="1">
      <c r="E161" s="6"/>
    </row>
    <row r="162" spans="5:5" ht="15.75" customHeight="1">
      <c r="E162" s="6"/>
    </row>
    <row r="163" spans="5:5" ht="15.75" customHeight="1">
      <c r="E163" s="6"/>
    </row>
    <row r="164" spans="5:5" ht="15.75" customHeight="1">
      <c r="E164" s="6"/>
    </row>
    <row r="165" spans="5:5" ht="15.75" customHeight="1">
      <c r="E165" s="6"/>
    </row>
    <row r="166" spans="5:5" ht="15.75" customHeight="1">
      <c r="E166" s="6"/>
    </row>
    <row r="167" spans="5:5" ht="15.75" customHeight="1">
      <c r="E167" s="6"/>
    </row>
    <row r="168" spans="5:5" ht="15.75" customHeight="1">
      <c r="E168" s="6"/>
    </row>
    <row r="169" spans="5:5" ht="15.75" customHeight="1">
      <c r="E169" s="6"/>
    </row>
    <row r="170" spans="5:5" ht="15.75" customHeight="1">
      <c r="E170" s="6"/>
    </row>
    <row r="171" spans="5:5" ht="15.75" customHeight="1">
      <c r="E171" s="6"/>
    </row>
    <row r="172" spans="5:5" ht="15.75" customHeight="1">
      <c r="E172" s="6"/>
    </row>
    <row r="173" spans="5:5" ht="15.75" customHeight="1">
      <c r="E173" s="6"/>
    </row>
    <row r="174" spans="5:5" ht="15.75" customHeight="1">
      <c r="E174" s="6"/>
    </row>
    <row r="175" spans="5:5" ht="15.75" customHeight="1">
      <c r="E175" s="6"/>
    </row>
    <row r="176" spans="5:5" ht="15.75" customHeight="1">
      <c r="E176" s="6"/>
    </row>
    <row r="177" spans="5:5" ht="15.75" customHeight="1">
      <c r="E177" s="6"/>
    </row>
    <row r="178" spans="5:5" ht="15.75" customHeight="1">
      <c r="E178" s="6"/>
    </row>
    <row r="179" spans="5:5" ht="15.75" customHeight="1">
      <c r="E179" s="6"/>
    </row>
    <row r="180" spans="5:5" ht="15.75" customHeight="1">
      <c r="E180" s="6"/>
    </row>
    <row r="181" spans="5:5" ht="15.75" customHeight="1">
      <c r="E181" s="6"/>
    </row>
    <row r="182" spans="5:5" ht="15.75" customHeight="1">
      <c r="E182" s="6"/>
    </row>
    <row r="183" spans="5:5" ht="15.75" customHeight="1">
      <c r="E183" s="6"/>
    </row>
    <row r="184" spans="5:5" ht="15.75" customHeight="1">
      <c r="E184" s="6"/>
    </row>
    <row r="185" spans="5:5" ht="15.75" customHeight="1">
      <c r="E185" s="6"/>
    </row>
    <row r="186" spans="5:5" ht="15.75" customHeight="1">
      <c r="E186" s="6"/>
    </row>
    <row r="187" spans="5:5" ht="15.75" customHeight="1">
      <c r="E187" s="6"/>
    </row>
    <row r="188" spans="5:5" ht="15.75" customHeight="1">
      <c r="E188" s="6"/>
    </row>
    <row r="189" spans="5:5" ht="15.75" customHeight="1">
      <c r="E189" s="6"/>
    </row>
    <row r="190" spans="5:5" ht="15.75" customHeight="1">
      <c r="E190" s="6"/>
    </row>
    <row r="191" spans="5:5" ht="15.75" customHeight="1">
      <c r="E191" s="6"/>
    </row>
    <row r="192" spans="5:5" ht="15.75" customHeight="1">
      <c r="E192" s="6"/>
    </row>
    <row r="193" spans="5:5" ht="15.75" customHeight="1">
      <c r="E193" s="6"/>
    </row>
    <row r="194" spans="5:5" ht="15.75" customHeight="1">
      <c r="E194" s="6"/>
    </row>
    <row r="195" spans="5:5" ht="15.75" customHeight="1">
      <c r="E195" s="6"/>
    </row>
    <row r="196" spans="5:5" ht="15.75" customHeight="1">
      <c r="E196" s="6"/>
    </row>
    <row r="197" spans="5:5" ht="15.75" customHeight="1">
      <c r="E197" s="6"/>
    </row>
    <row r="198" spans="5:5" ht="15.75" customHeight="1">
      <c r="E198" s="6"/>
    </row>
    <row r="199" spans="5:5" ht="15.75" customHeight="1">
      <c r="E199" s="6"/>
    </row>
    <row r="200" spans="5:5" ht="15.75" customHeight="1">
      <c r="E200" s="6"/>
    </row>
    <row r="201" spans="5:5" ht="15.75" customHeight="1">
      <c r="E201" s="6"/>
    </row>
    <row r="202" spans="5:5" ht="15.75" customHeight="1">
      <c r="E202" s="6"/>
    </row>
    <row r="203" spans="5:5" ht="15.75" customHeight="1">
      <c r="E203" s="6"/>
    </row>
    <row r="204" spans="5:5" ht="15.75" customHeight="1">
      <c r="E204" s="6"/>
    </row>
    <row r="205" spans="5:5" ht="15.75" customHeight="1">
      <c r="E205" s="6"/>
    </row>
    <row r="206" spans="5:5" ht="15.75" customHeight="1">
      <c r="E206" s="6"/>
    </row>
    <row r="207" spans="5:5" ht="15.75" customHeight="1">
      <c r="E207" s="6"/>
    </row>
    <row r="208" spans="5:5" ht="15.75" customHeight="1">
      <c r="E208" s="6"/>
    </row>
    <row r="209" spans="5:5" ht="15.75" customHeight="1">
      <c r="E209" s="6"/>
    </row>
    <row r="210" spans="5:5" ht="15.75" customHeight="1">
      <c r="E210" s="6"/>
    </row>
    <row r="211" spans="5:5" ht="15.75" customHeight="1">
      <c r="E211" s="6"/>
    </row>
    <row r="212" spans="5:5" ht="15.75" customHeight="1">
      <c r="E212" s="6"/>
    </row>
    <row r="213" spans="5:5" ht="15.75" customHeight="1">
      <c r="E213" s="6"/>
    </row>
    <row r="214" spans="5:5" ht="15.75" customHeight="1">
      <c r="E214" s="6"/>
    </row>
    <row r="215" spans="5:5" ht="15.75" customHeight="1">
      <c r="E215" s="6"/>
    </row>
    <row r="216" spans="5:5" ht="15.75" customHeight="1">
      <c r="E216" s="6"/>
    </row>
    <row r="217" spans="5:5" ht="15.75" customHeight="1">
      <c r="E217" s="6"/>
    </row>
    <row r="218" spans="5:5" ht="15.75" customHeight="1">
      <c r="E218" s="6"/>
    </row>
    <row r="219" spans="5:5" ht="15.75" customHeight="1">
      <c r="E219" s="6"/>
    </row>
    <row r="220" spans="5:5" ht="15.75" customHeight="1">
      <c r="E220" s="6"/>
    </row>
    <row r="221" spans="5:5" ht="15.75" customHeight="1">
      <c r="E221" s="6"/>
    </row>
    <row r="222" spans="5:5" ht="15.75" customHeight="1">
      <c r="E222" s="6"/>
    </row>
    <row r="223" spans="5:5" ht="15.75" customHeight="1">
      <c r="E223" s="6"/>
    </row>
    <row r="224" spans="5:5" ht="15.75" customHeight="1">
      <c r="E224" s="6"/>
    </row>
    <row r="225" spans="5:5" ht="15.75" customHeight="1">
      <c r="E225" s="6"/>
    </row>
    <row r="226" spans="5:5" ht="15.75" customHeight="1">
      <c r="E226" s="6"/>
    </row>
    <row r="227" spans="5:5" ht="15.75" customHeight="1">
      <c r="E227" s="6"/>
    </row>
    <row r="228" spans="5:5" ht="15.75" customHeight="1">
      <c r="E228" s="6"/>
    </row>
    <row r="229" spans="5:5" ht="15.75" customHeight="1">
      <c r="E229" s="6"/>
    </row>
    <row r="230" spans="5:5" ht="15.75" customHeight="1">
      <c r="E230" s="6"/>
    </row>
    <row r="231" spans="5:5" ht="15.75" customHeight="1">
      <c r="E231" s="6"/>
    </row>
    <row r="232" spans="5:5" ht="15.75" customHeight="1">
      <c r="E232" s="6"/>
    </row>
    <row r="233" spans="5:5" ht="15.75" customHeight="1">
      <c r="E233" s="6"/>
    </row>
    <row r="234" spans="5:5" ht="15.75" customHeight="1">
      <c r="E234" s="6"/>
    </row>
    <row r="235" spans="5:5" ht="15.75" customHeight="1">
      <c r="E235" s="6"/>
    </row>
    <row r="236" spans="5:5" ht="15.75" customHeight="1">
      <c r="E236" s="6"/>
    </row>
    <row r="237" spans="5:5" ht="15.75" customHeight="1">
      <c r="E237" s="6"/>
    </row>
    <row r="238" spans="5:5" ht="15.75" customHeight="1">
      <c r="E238" s="6"/>
    </row>
    <row r="239" spans="5:5" ht="15.75" customHeight="1">
      <c r="E239" s="6"/>
    </row>
    <row r="240" spans="5:5" ht="15.75" customHeight="1">
      <c r="E240" s="6"/>
    </row>
    <row r="241" spans="5:5" ht="15.75" customHeight="1">
      <c r="E241" s="6"/>
    </row>
    <row r="242" spans="5:5" ht="15.75" customHeight="1">
      <c r="E242" s="6"/>
    </row>
    <row r="243" spans="5:5" ht="15.75" customHeight="1">
      <c r="E243" s="6"/>
    </row>
    <row r="244" spans="5:5" ht="15.75" customHeight="1">
      <c r="E244" s="6"/>
    </row>
    <row r="245" spans="5:5" ht="15.75" customHeight="1">
      <c r="E245" s="6"/>
    </row>
    <row r="246" spans="5:5" ht="15.75" customHeight="1">
      <c r="E246" s="6"/>
    </row>
    <row r="247" spans="5:5" ht="15.75" customHeight="1">
      <c r="E247" s="6"/>
    </row>
    <row r="248" spans="5:5" ht="15.75" customHeight="1">
      <c r="E248" s="6"/>
    </row>
    <row r="249" spans="5:5" ht="15.75" customHeight="1">
      <c r="E249" s="6"/>
    </row>
    <row r="250" spans="5:5" ht="15.75" customHeight="1">
      <c r="E250" s="6"/>
    </row>
    <row r="251" spans="5:5" ht="15.75" customHeight="1">
      <c r="E251" s="6"/>
    </row>
    <row r="252" spans="5:5" ht="15.75" customHeight="1">
      <c r="E252" s="6"/>
    </row>
    <row r="253" spans="5:5" ht="15.75" customHeight="1">
      <c r="E253" s="6"/>
    </row>
    <row r="254" spans="5:5" ht="15.75" customHeight="1">
      <c r="E254" s="6"/>
    </row>
    <row r="255" spans="5:5" ht="15.75" customHeight="1">
      <c r="E255" s="6"/>
    </row>
    <row r="256" spans="5:5" ht="15.75" customHeight="1">
      <c r="E256" s="6"/>
    </row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3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9900"/>
    <outlinePr summaryBelow="0" summaryRight="0"/>
  </sheetPr>
  <dimension ref="A1:AB1000"/>
  <sheetViews>
    <sheetView workbookViewId="0"/>
  </sheetViews>
  <sheetFormatPr defaultColWidth="12.5703125" defaultRowHeight="15" customHeight="1"/>
  <cols>
    <col min="1" max="6" width="12.5703125" customWidth="1"/>
  </cols>
  <sheetData>
    <row r="1" spans="1:28" ht="15.75" customHeight="1">
      <c r="A1" s="14" t="s">
        <v>105</v>
      </c>
      <c r="B1" s="14" t="s">
        <v>106</v>
      </c>
      <c r="C1" s="14" t="s">
        <v>107</v>
      </c>
      <c r="D1" s="14" t="s">
        <v>108</v>
      </c>
      <c r="E1" s="14" t="s">
        <v>109</v>
      </c>
      <c r="F1" s="14" t="s">
        <v>110</v>
      </c>
      <c r="G1" s="5" t="s">
        <v>111</v>
      </c>
      <c r="H1" s="5" t="s">
        <v>112</v>
      </c>
      <c r="I1" s="5" t="s">
        <v>113</v>
      </c>
      <c r="J1" s="5" t="s">
        <v>114</v>
      </c>
      <c r="K1" s="5" t="s">
        <v>115</v>
      </c>
      <c r="L1" s="5" t="s">
        <v>116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 spans="1:28" ht="15.75" customHeight="1">
      <c r="A2" s="3"/>
      <c r="B2" s="3"/>
      <c r="C2" s="3"/>
      <c r="D2" s="3"/>
      <c r="E2" s="3"/>
      <c r="F2" s="3"/>
      <c r="G2" s="15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spans="1:28" ht="15.75" customHeight="1">
      <c r="A3" s="16">
        <v>1</v>
      </c>
      <c r="B3" s="17"/>
      <c r="C3" s="17">
        <v>400</v>
      </c>
      <c r="D3" s="16">
        <f t="shared" ref="D3:D25" si="0">C3*2</f>
        <v>800</v>
      </c>
      <c r="E3" s="17">
        <v>2000</v>
      </c>
      <c r="F3" s="16">
        <f t="shared" ref="F3:F25" si="1">E3*2</f>
        <v>4000</v>
      </c>
      <c r="G3" s="17">
        <v>3000</v>
      </c>
      <c r="H3" s="16">
        <f t="shared" ref="H3:H25" si="2">G3*2</f>
        <v>6000</v>
      </c>
      <c r="I3" s="17">
        <v>3000</v>
      </c>
      <c r="J3" s="16">
        <f t="shared" ref="J3:J25" si="3">I3*2</f>
        <v>6000</v>
      </c>
      <c r="K3" s="17">
        <v>3000</v>
      </c>
      <c r="L3" s="16">
        <f t="shared" ref="L3:L25" si="4">K3*2</f>
        <v>6000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spans="1:28" ht="15.75" customHeight="1">
      <c r="A4" s="16">
        <v>2</v>
      </c>
      <c r="B4" s="17"/>
      <c r="C4" s="17">
        <v>400</v>
      </c>
      <c r="D4" s="16">
        <f t="shared" si="0"/>
        <v>800</v>
      </c>
      <c r="E4" s="17">
        <v>1200</v>
      </c>
      <c r="F4" s="16">
        <f t="shared" si="1"/>
        <v>2400</v>
      </c>
      <c r="G4" s="17">
        <v>2000</v>
      </c>
      <c r="H4" s="16">
        <f t="shared" si="2"/>
        <v>4000</v>
      </c>
      <c r="I4" s="17">
        <v>2000</v>
      </c>
      <c r="J4" s="16">
        <f t="shared" si="3"/>
        <v>4000</v>
      </c>
      <c r="K4" s="17">
        <v>2000</v>
      </c>
      <c r="L4" s="16">
        <f t="shared" si="4"/>
        <v>4000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spans="1:28" ht="15.75" customHeight="1">
      <c r="A5" s="16">
        <v>5</v>
      </c>
      <c r="B5" s="17"/>
      <c r="C5" s="17">
        <v>400</v>
      </c>
      <c r="D5" s="16">
        <f t="shared" si="0"/>
        <v>800</v>
      </c>
      <c r="E5" s="17">
        <v>1200</v>
      </c>
      <c r="F5" s="16">
        <f t="shared" si="1"/>
        <v>2400</v>
      </c>
      <c r="G5" s="17">
        <v>2000</v>
      </c>
      <c r="H5" s="16">
        <f t="shared" si="2"/>
        <v>4000</v>
      </c>
      <c r="I5" s="17">
        <v>2000</v>
      </c>
      <c r="J5" s="16">
        <f t="shared" si="3"/>
        <v>4000</v>
      </c>
      <c r="K5" s="17">
        <v>2000</v>
      </c>
      <c r="L5" s="16">
        <f t="shared" si="4"/>
        <v>4000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spans="1:28" ht="15.75" customHeight="1">
      <c r="A6" s="16">
        <v>10</v>
      </c>
      <c r="B6" s="17"/>
      <c r="C6" s="17">
        <v>200</v>
      </c>
      <c r="D6" s="16">
        <f t="shared" si="0"/>
        <v>400</v>
      </c>
      <c r="E6" s="17">
        <v>1000</v>
      </c>
      <c r="F6" s="16">
        <f t="shared" si="1"/>
        <v>2000</v>
      </c>
      <c r="G6" s="17">
        <v>1500</v>
      </c>
      <c r="H6" s="16">
        <f t="shared" si="2"/>
        <v>3000</v>
      </c>
      <c r="I6" s="17">
        <v>1500</v>
      </c>
      <c r="J6" s="16">
        <f t="shared" si="3"/>
        <v>3000</v>
      </c>
      <c r="K6" s="17">
        <v>1500</v>
      </c>
      <c r="L6" s="16">
        <f t="shared" si="4"/>
        <v>3000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 spans="1:28" ht="15.75" customHeight="1">
      <c r="A7" s="16">
        <v>20</v>
      </c>
      <c r="B7" s="17"/>
      <c r="C7" s="17">
        <v>200</v>
      </c>
      <c r="D7" s="16">
        <f t="shared" si="0"/>
        <v>400</v>
      </c>
      <c r="E7" s="17">
        <v>800</v>
      </c>
      <c r="F7" s="16">
        <f t="shared" si="1"/>
        <v>1600</v>
      </c>
      <c r="G7" s="17">
        <v>1200</v>
      </c>
      <c r="H7" s="16">
        <f t="shared" si="2"/>
        <v>2400</v>
      </c>
      <c r="I7" s="17">
        <v>1200</v>
      </c>
      <c r="J7" s="16">
        <f t="shared" si="3"/>
        <v>2400</v>
      </c>
      <c r="K7" s="17">
        <v>1400</v>
      </c>
      <c r="L7" s="16">
        <f t="shared" si="4"/>
        <v>2800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 spans="1:28" ht="15.75" customHeight="1">
      <c r="A8" s="16">
        <v>30</v>
      </c>
      <c r="B8" s="17"/>
      <c r="C8" s="17">
        <v>100</v>
      </c>
      <c r="D8" s="16">
        <f t="shared" si="0"/>
        <v>200</v>
      </c>
      <c r="E8" s="17">
        <v>750</v>
      </c>
      <c r="F8" s="16">
        <f t="shared" si="1"/>
        <v>1500</v>
      </c>
      <c r="G8" s="17">
        <v>1100</v>
      </c>
      <c r="H8" s="16">
        <f t="shared" si="2"/>
        <v>2200</v>
      </c>
      <c r="I8" s="17">
        <v>1000</v>
      </c>
      <c r="J8" s="16">
        <f t="shared" si="3"/>
        <v>2000</v>
      </c>
      <c r="K8" s="17">
        <v>1300</v>
      </c>
      <c r="L8" s="16">
        <f t="shared" si="4"/>
        <v>2600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 spans="1:28" ht="15.75" customHeight="1">
      <c r="A9" s="16">
        <v>40</v>
      </c>
      <c r="B9" s="17"/>
      <c r="C9" s="17">
        <v>100</v>
      </c>
      <c r="D9" s="16">
        <f t="shared" si="0"/>
        <v>200</v>
      </c>
      <c r="E9" s="17">
        <v>700</v>
      </c>
      <c r="F9" s="16">
        <f t="shared" si="1"/>
        <v>1400</v>
      </c>
      <c r="G9" s="17">
        <v>1000</v>
      </c>
      <c r="H9" s="16">
        <f t="shared" si="2"/>
        <v>2000</v>
      </c>
      <c r="I9" s="17">
        <v>900</v>
      </c>
      <c r="J9" s="16">
        <f t="shared" si="3"/>
        <v>1800</v>
      </c>
      <c r="K9" s="17">
        <v>1200</v>
      </c>
      <c r="L9" s="16">
        <f t="shared" si="4"/>
        <v>2400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spans="1:28" ht="15.75" customHeight="1">
      <c r="A10" s="16">
        <v>50</v>
      </c>
      <c r="B10" s="17"/>
      <c r="C10" s="17">
        <v>100</v>
      </c>
      <c r="D10" s="16">
        <f t="shared" si="0"/>
        <v>200</v>
      </c>
      <c r="E10" s="17">
        <v>650</v>
      </c>
      <c r="F10" s="16">
        <f t="shared" si="1"/>
        <v>1300</v>
      </c>
      <c r="G10" s="17">
        <v>900</v>
      </c>
      <c r="H10" s="16">
        <f t="shared" si="2"/>
        <v>1800</v>
      </c>
      <c r="I10" s="17">
        <v>850</v>
      </c>
      <c r="J10" s="16">
        <f t="shared" si="3"/>
        <v>1700</v>
      </c>
      <c r="K10" s="17">
        <v>1100</v>
      </c>
      <c r="L10" s="16">
        <f t="shared" si="4"/>
        <v>2200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spans="1:28" ht="15.75" customHeight="1">
      <c r="A11" s="16">
        <v>70</v>
      </c>
      <c r="B11" s="17"/>
      <c r="C11" s="17">
        <v>100</v>
      </c>
      <c r="D11" s="16">
        <f t="shared" si="0"/>
        <v>200</v>
      </c>
      <c r="E11" s="17">
        <v>600</v>
      </c>
      <c r="F11" s="16">
        <f t="shared" si="1"/>
        <v>1200</v>
      </c>
      <c r="G11" s="17">
        <v>850</v>
      </c>
      <c r="H11" s="16">
        <f t="shared" si="2"/>
        <v>1700</v>
      </c>
      <c r="I11" s="17">
        <v>800</v>
      </c>
      <c r="J11" s="16">
        <f t="shared" si="3"/>
        <v>1600</v>
      </c>
      <c r="K11" s="17">
        <v>1000</v>
      </c>
      <c r="L11" s="16">
        <f t="shared" si="4"/>
        <v>2000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spans="1:28" ht="15.75" customHeight="1">
      <c r="A12" s="16">
        <v>100</v>
      </c>
      <c r="B12" s="17"/>
      <c r="C12" s="17">
        <v>100</v>
      </c>
      <c r="D12" s="16">
        <f t="shared" si="0"/>
        <v>200</v>
      </c>
      <c r="E12" s="17">
        <v>550</v>
      </c>
      <c r="F12" s="16">
        <f t="shared" si="1"/>
        <v>1100</v>
      </c>
      <c r="G12" s="17">
        <v>800</v>
      </c>
      <c r="H12" s="16">
        <f t="shared" si="2"/>
        <v>1600</v>
      </c>
      <c r="I12" s="17">
        <v>750</v>
      </c>
      <c r="J12" s="16">
        <f t="shared" si="3"/>
        <v>1500</v>
      </c>
      <c r="K12" s="17">
        <v>900</v>
      </c>
      <c r="L12" s="16">
        <f t="shared" si="4"/>
        <v>1800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 spans="1:28" ht="15.75" customHeight="1">
      <c r="A13" s="16">
        <v>150</v>
      </c>
      <c r="B13" s="17"/>
      <c r="C13" s="17">
        <v>100</v>
      </c>
      <c r="D13" s="16">
        <f t="shared" si="0"/>
        <v>200</v>
      </c>
      <c r="E13" s="17">
        <v>500</v>
      </c>
      <c r="F13" s="16">
        <f t="shared" si="1"/>
        <v>1000</v>
      </c>
      <c r="G13" s="17">
        <v>750</v>
      </c>
      <c r="H13" s="16">
        <f t="shared" si="2"/>
        <v>1500</v>
      </c>
      <c r="I13" s="17">
        <v>700</v>
      </c>
      <c r="J13" s="16">
        <f t="shared" si="3"/>
        <v>1400</v>
      </c>
      <c r="K13" s="17">
        <v>850</v>
      </c>
      <c r="L13" s="16">
        <f t="shared" si="4"/>
        <v>1700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 spans="1:28" ht="15.75" customHeight="1">
      <c r="A14" s="16">
        <v>200</v>
      </c>
      <c r="B14" s="17"/>
      <c r="C14" s="17">
        <v>100</v>
      </c>
      <c r="D14" s="16">
        <f t="shared" si="0"/>
        <v>200</v>
      </c>
      <c r="E14" s="17">
        <v>450</v>
      </c>
      <c r="F14" s="16">
        <f t="shared" si="1"/>
        <v>900</v>
      </c>
      <c r="G14" s="17">
        <v>700</v>
      </c>
      <c r="H14" s="16">
        <f t="shared" si="2"/>
        <v>1400</v>
      </c>
      <c r="I14" s="17">
        <v>650</v>
      </c>
      <c r="J14" s="16">
        <f t="shared" si="3"/>
        <v>1300</v>
      </c>
      <c r="K14" s="17">
        <v>800</v>
      </c>
      <c r="L14" s="16">
        <f t="shared" si="4"/>
        <v>1600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 spans="1:28" ht="15.75" customHeight="1">
      <c r="A15" s="16">
        <v>250</v>
      </c>
      <c r="B15" s="17"/>
      <c r="C15" s="17">
        <v>80</v>
      </c>
      <c r="D15" s="16">
        <f t="shared" si="0"/>
        <v>160</v>
      </c>
      <c r="E15" s="17">
        <v>400</v>
      </c>
      <c r="F15" s="16">
        <f t="shared" si="1"/>
        <v>800</v>
      </c>
      <c r="G15" s="17">
        <v>650</v>
      </c>
      <c r="H15" s="16">
        <f t="shared" si="2"/>
        <v>1300</v>
      </c>
      <c r="I15" s="17">
        <v>600</v>
      </c>
      <c r="J15" s="16">
        <f t="shared" si="3"/>
        <v>1200</v>
      </c>
      <c r="K15" s="17">
        <v>750</v>
      </c>
      <c r="L15" s="16">
        <f t="shared" si="4"/>
        <v>1500</v>
      </c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 spans="1:28" ht="15.75" customHeight="1">
      <c r="A16" s="16">
        <v>300</v>
      </c>
      <c r="B16" s="17"/>
      <c r="C16" s="17">
        <v>80</v>
      </c>
      <c r="D16" s="16">
        <f t="shared" si="0"/>
        <v>160</v>
      </c>
      <c r="E16" s="17">
        <v>350</v>
      </c>
      <c r="F16" s="16">
        <f t="shared" si="1"/>
        <v>700</v>
      </c>
      <c r="G16" s="17">
        <v>600</v>
      </c>
      <c r="H16" s="16">
        <f t="shared" si="2"/>
        <v>1200</v>
      </c>
      <c r="I16" s="17">
        <v>550</v>
      </c>
      <c r="J16" s="16">
        <f t="shared" si="3"/>
        <v>1100</v>
      </c>
      <c r="K16" s="17">
        <v>700</v>
      </c>
      <c r="L16" s="16">
        <f t="shared" si="4"/>
        <v>1400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spans="1:28" ht="15.75" customHeight="1">
      <c r="A17" s="16">
        <v>400</v>
      </c>
      <c r="B17" s="17"/>
      <c r="C17" s="17">
        <v>80</v>
      </c>
      <c r="D17" s="16">
        <f t="shared" si="0"/>
        <v>160</v>
      </c>
      <c r="E17" s="17">
        <v>300</v>
      </c>
      <c r="F17" s="16">
        <f t="shared" si="1"/>
        <v>600</v>
      </c>
      <c r="G17" s="17">
        <v>550</v>
      </c>
      <c r="H17" s="16">
        <f t="shared" si="2"/>
        <v>1100</v>
      </c>
      <c r="I17" s="17">
        <v>500</v>
      </c>
      <c r="J17" s="16">
        <f t="shared" si="3"/>
        <v>1000</v>
      </c>
      <c r="K17" s="17">
        <v>650</v>
      </c>
      <c r="L17" s="16">
        <f t="shared" si="4"/>
        <v>1300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 spans="1:28" ht="15.75" customHeight="1">
      <c r="A18" s="16">
        <v>500</v>
      </c>
      <c r="B18" s="17"/>
      <c r="C18" s="17">
        <v>80</v>
      </c>
      <c r="D18" s="16">
        <f t="shared" si="0"/>
        <v>160</v>
      </c>
      <c r="E18" s="17">
        <v>280</v>
      </c>
      <c r="F18" s="16">
        <f t="shared" si="1"/>
        <v>560</v>
      </c>
      <c r="G18" s="17">
        <v>500</v>
      </c>
      <c r="H18" s="16">
        <f t="shared" si="2"/>
        <v>1000</v>
      </c>
      <c r="I18" s="17">
        <v>450</v>
      </c>
      <c r="J18" s="16">
        <f t="shared" si="3"/>
        <v>900</v>
      </c>
      <c r="K18" s="17">
        <v>600</v>
      </c>
      <c r="L18" s="16">
        <f t="shared" si="4"/>
        <v>1200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 spans="1:28" ht="15.75" customHeight="1">
      <c r="A19" s="16">
        <v>700</v>
      </c>
      <c r="B19" s="17"/>
      <c r="C19" s="17">
        <v>70</v>
      </c>
      <c r="D19" s="16">
        <f t="shared" si="0"/>
        <v>140</v>
      </c>
      <c r="E19" s="17">
        <v>260</v>
      </c>
      <c r="F19" s="16">
        <f t="shared" si="1"/>
        <v>520</v>
      </c>
      <c r="G19" s="17">
        <v>450</v>
      </c>
      <c r="H19" s="16">
        <f t="shared" si="2"/>
        <v>900</v>
      </c>
      <c r="I19" s="17">
        <v>400</v>
      </c>
      <c r="J19" s="16">
        <f t="shared" si="3"/>
        <v>800</v>
      </c>
      <c r="K19" s="17">
        <v>550</v>
      </c>
      <c r="L19" s="16">
        <f t="shared" si="4"/>
        <v>1100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spans="1:28" ht="15.75" customHeight="1">
      <c r="A20" s="16">
        <v>900</v>
      </c>
      <c r="B20" s="17"/>
      <c r="C20" s="17">
        <v>70</v>
      </c>
      <c r="D20" s="16">
        <f t="shared" si="0"/>
        <v>140</v>
      </c>
      <c r="E20" s="17">
        <v>240</v>
      </c>
      <c r="F20" s="16">
        <f t="shared" si="1"/>
        <v>480</v>
      </c>
      <c r="G20" s="17">
        <v>400</v>
      </c>
      <c r="H20" s="16">
        <f t="shared" si="2"/>
        <v>800</v>
      </c>
      <c r="I20" s="17">
        <v>350</v>
      </c>
      <c r="J20" s="16">
        <f t="shared" si="3"/>
        <v>700</v>
      </c>
      <c r="K20" s="17">
        <v>550</v>
      </c>
      <c r="L20" s="16">
        <f t="shared" si="4"/>
        <v>1100</v>
      </c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 spans="1:28" ht="15.75" customHeight="1">
      <c r="A21" s="16">
        <v>1000</v>
      </c>
      <c r="B21" s="17"/>
      <c r="C21" s="17">
        <v>70</v>
      </c>
      <c r="D21" s="16">
        <f t="shared" si="0"/>
        <v>140</v>
      </c>
      <c r="E21" s="17">
        <v>220</v>
      </c>
      <c r="F21" s="16">
        <f t="shared" si="1"/>
        <v>440</v>
      </c>
      <c r="G21" s="17">
        <v>350</v>
      </c>
      <c r="H21" s="16">
        <f t="shared" si="2"/>
        <v>700</v>
      </c>
      <c r="I21" s="17">
        <v>300</v>
      </c>
      <c r="J21" s="16">
        <f t="shared" si="3"/>
        <v>600</v>
      </c>
      <c r="K21" s="17">
        <v>500</v>
      </c>
      <c r="L21" s="16">
        <f t="shared" si="4"/>
        <v>1000</v>
      </c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 spans="1:28" ht="15.75" customHeight="1">
      <c r="A22" s="16">
        <v>1500</v>
      </c>
      <c r="B22" s="17"/>
      <c r="C22" s="17">
        <v>70</v>
      </c>
      <c r="D22" s="16">
        <f t="shared" si="0"/>
        <v>140</v>
      </c>
      <c r="E22" s="17">
        <v>220</v>
      </c>
      <c r="F22" s="16">
        <f t="shared" si="1"/>
        <v>440</v>
      </c>
      <c r="G22" s="17">
        <v>350</v>
      </c>
      <c r="H22" s="16">
        <f t="shared" si="2"/>
        <v>700</v>
      </c>
      <c r="I22" s="17">
        <v>300</v>
      </c>
      <c r="J22" s="16">
        <f t="shared" si="3"/>
        <v>600</v>
      </c>
      <c r="K22" s="17">
        <v>500</v>
      </c>
      <c r="L22" s="16">
        <f t="shared" si="4"/>
        <v>1000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 spans="1:28" ht="15.75" customHeight="1">
      <c r="A23" s="16">
        <v>2500</v>
      </c>
      <c r="B23" s="17"/>
      <c r="C23" s="17">
        <v>60</v>
      </c>
      <c r="D23" s="16">
        <f t="shared" si="0"/>
        <v>120</v>
      </c>
      <c r="E23" s="17">
        <v>180</v>
      </c>
      <c r="F23" s="16">
        <f t="shared" si="1"/>
        <v>360</v>
      </c>
      <c r="G23" s="17">
        <v>350</v>
      </c>
      <c r="H23" s="16">
        <f t="shared" si="2"/>
        <v>700</v>
      </c>
      <c r="I23" s="17">
        <v>300</v>
      </c>
      <c r="J23" s="16">
        <f t="shared" si="3"/>
        <v>600</v>
      </c>
      <c r="K23" s="17">
        <v>500</v>
      </c>
      <c r="L23" s="16">
        <f t="shared" si="4"/>
        <v>1000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 spans="1:28" ht="15.75" customHeight="1">
      <c r="A24" s="16">
        <v>5000</v>
      </c>
      <c r="B24" s="17"/>
      <c r="C24" s="17">
        <v>60</v>
      </c>
      <c r="D24" s="16">
        <f t="shared" si="0"/>
        <v>120</v>
      </c>
      <c r="E24" s="17">
        <v>180</v>
      </c>
      <c r="F24" s="16">
        <f t="shared" si="1"/>
        <v>360</v>
      </c>
      <c r="G24" s="17">
        <v>300</v>
      </c>
      <c r="H24" s="16">
        <f t="shared" si="2"/>
        <v>600</v>
      </c>
      <c r="I24" s="17">
        <v>250</v>
      </c>
      <c r="J24" s="16">
        <f t="shared" si="3"/>
        <v>500</v>
      </c>
      <c r="K24" s="17">
        <v>450</v>
      </c>
      <c r="L24" s="16">
        <f t="shared" si="4"/>
        <v>900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 spans="1:28" ht="15.75" customHeight="1">
      <c r="A25" s="16">
        <v>1000000</v>
      </c>
      <c r="B25" s="17"/>
      <c r="C25" s="17">
        <v>60</v>
      </c>
      <c r="D25" s="16">
        <f t="shared" si="0"/>
        <v>120</v>
      </c>
      <c r="E25" s="17">
        <v>180</v>
      </c>
      <c r="F25" s="16">
        <f t="shared" si="1"/>
        <v>360</v>
      </c>
      <c r="G25" s="17">
        <v>300</v>
      </c>
      <c r="H25" s="16">
        <f t="shared" si="2"/>
        <v>600</v>
      </c>
      <c r="I25" s="17">
        <v>250</v>
      </c>
      <c r="J25" s="16">
        <f t="shared" si="3"/>
        <v>500</v>
      </c>
      <c r="K25" s="17">
        <v>450</v>
      </c>
      <c r="L25" s="16">
        <f t="shared" si="4"/>
        <v>900</v>
      </c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 spans="1:28" ht="15.75" customHeight="1">
      <c r="A26" s="3" t="s">
        <v>117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 spans="1:28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 spans="1: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 spans="1:28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 spans="1:28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 spans="1:28" ht="15.75" customHeight="1">
      <c r="A31" s="14" t="s">
        <v>118</v>
      </c>
      <c r="B31" s="14" t="s">
        <v>106</v>
      </c>
      <c r="C31" s="14" t="s">
        <v>107</v>
      </c>
      <c r="D31" s="14" t="s">
        <v>108</v>
      </c>
      <c r="E31" s="14" t="s">
        <v>109</v>
      </c>
      <c r="F31" s="14" t="s">
        <v>110</v>
      </c>
      <c r="G31" s="18"/>
      <c r="H31" s="18"/>
      <c r="I31" s="18"/>
      <c r="J31" s="18"/>
      <c r="K31" s="18"/>
      <c r="L31" s="18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 spans="1:28" ht="15.75" customHeight="1">
      <c r="A32" s="3"/>
      <c r="B32" s="3"/>
      <c r="C32" s="3"/>
      <c r="D32" s="3"/>
      <c r="E32" s="3"/>
      <c r="F32" s="3"/>
      <c r="G32" s="19"/>
      <c r="H32" s="20"/>
      <c r="I32" s="20"/>
      <c r="J32" s="20"/>
      <c r="K32" s="20"/>
      <c r="L32" s="20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 spans="1:28" ht="15.75" customHeight="1">
      <c r="A33" s="16">
        <v>1</v>
      </c>
      <c r="B33" s="17"/>
      <c r="C33" s="17">
        <v>500</v>
      </c>
      <c r="D33" s="21">
        <f t="shared" ref="D33:D55" si="5">C33*2</f>
        <v>1000</v>
      </c>
      <c r="E33" s="22">
        <v>2500</v>
      </c>
      <c r="F33" s="21">
        <f t="shared" ref="F33:F55" si="6">E33*2</f>
        <v>5000</v>
      </c>
      <c r="G33" s="23"/>
      <c r="H33" s="24"/>
      <c r="I33" s="23"/>
      <c r="J33" s="24"/>
      <c r="K33" s="23"/>
      <c r="L33" s="24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 spans="1:28" ht="15.75" customHeight="1">
      <c r="A34" s="16">
        <v>2</v>
      </c>
      <c r="B34" s="17"/>
      <c r="C34" s="17">
        <v>500</v>
      </c>
      <c r="D34" s="21">
        <f t="shared" si="5"/>
        <v>1000</v>
      </c>
      <c r="E34" s="22">
        <v>1800</v>
      </c>
      <c r="F34" s="21">
        <f t="shared" si="6"/>
        <v>3600</v>
      </c>
      <c r="G34" s="23"/>
      <c r="H34" s="24"/>
      <c r="I34" s="23"/>
      <c r="J34" s="24"/>
      <c r="K34" s="23"/>
      <c r="L34" s="24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 spans="1:28" ht="15.75" customHeight="1">
      <c r="A35" s="16">
        <v>5</v>
      </c>
      <c r="B35" s="17"/>
      <c r="C35" s="17">
        <v>500</v>
      </c>
      <c r="D35" s="21">
        <f t="shared" si="5"/>
        <v>1000</v>
      </c>
      <c r="E35" s="22">
        <v>1800</v>
      </c>
      <c r="F35" s="21">
        <f t="shared" si="6"/>
        <v>3600</v>
      </c>
      <c r="G35" s="23"/>
      <c r="H35" s="24"/>
      <c r="I35" s="23"/>
      <c r="J35" s="24"/>
      <c r="K35" s="23"/>
      <c r="L35" s="24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 spans="1:28" ht="15.75" customHeight="1">
      <c r="A36" s="16">
        <v>10</v>
      </c>
      <c r="B36" s="17"/>
      <c r="C36" s="17">
        <v>260</v>
      </c>
      <c r="D36" s="21">
        <f t="shared" si="5"/>
        <v>520</v>
      </c>
      <c r="E36" s="22">
        <v>1500</v>
      </c>
      <c r="F36" s="21">
        <f t="shared" si="6"/>
        <v>3000</v>
      </c>
      <c r="G36" s="23"/>
      <c r="H36" s="24"/>
      <c r="I36" s="23"/>
      <c r="J36" s="24"/>
      <c r="K36" s="23"/>
      <c r="L36" s="24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 spans="1:28" ht="15.75" customHeight="1">
      <c r="A37" s="16">
        <v>20</v>
      </c>
      <c r="B37" s="17"/>
      <c r="C37" s="17">
        <v>260</v>
      </c>
      <c r="D37" s="21">
        <f t="shared" si="5"/>
        <v>520</v>
      </c>
      <c r="E37" s="22">
        <v>860</v>
      </c>
      <c r="F37" s="21">
        <f t="shared" si="6"/>
        <v>1720</v>
      </c>
      <c r="G37" s="23"/>
      <c r="H37" s="24"/>
      <c r="I37" s="23"/>
      <c r="J37" s="24"/>
      <c r="K37" s="23"/>
      <c r="L37" s="24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 spans="1:28" ht="15.75" customHeight="1">
      <c r="A38" s="16">
        <v>30</v>
      </c>
      <c r="B38" s="17"/>
      <c r="C38" s="17">
        <v>130</v>
      </c>
      <c r="D38" s="21">
        <f t="shared" si="5"/>
        <v>260</v>
      </c>
      <c r="E38" s="22">
        <v>810</v>
      </c>
      <c r="F38" s="21">
        <f t="shared" si="6"/>
        <v>1620</v>
      </c>
      <c r="G38" s="23"/>
      <c r="H38" s="24"/>
      <c r="I38" s="23"/>
      <c r="J38" s="24"/>
      <c r="K38" s="23"/>
      <c r="L38" s="24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 spans="1:28" ht="15.75" customHeight="1">
      <c r="A39" s="16">
        <v>40</v>
      </c>
      <c r="B39" s="17"/>
      <c r="C39" s="17">
        <v>130</v>
      </c>
      <c r="D39" s="21">
        <f t="shared" si="5"/>
        <v>260</v>
      </c>
      <c r="E39" s="22">
        <v>760</v>
      </c>
      <c r="F39" s="21">
        <f t="shared" si="6"/>
        <v>1520</v>
      </c>
      <c r="G39" s="23"/>
      <c r="H39" s="24"/>
      <c r="I39" s="23"/>
      <c r="J39" s="24"/>
      <c r="K39" s="23"/>
      <c r="L39" s="24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spans="1:28" ht="15.75" customHeight="1">
      <c r="A40" s="16">
        <v>50</v>
      </c>
      <c r="B40" s="17"/>
      <c r="C40" s="17">
        <v>130</v>
      </c>
      <c r="D40" s="21">
        <f t="shared" si="5"/>
        <v>260</v>
      </c>
      <c r="E40" s="22">
        <v>710</v>
      </c>
      <c r="F40" s="21">
        <f t="shared" si="6"/>
        <v>1420</v>
      </c>
      <c r="G40" s="23"/>
      <c r="H40" s="24"/>
      <c r="I40" s="23"/>
      <c r="J40" s="24"/>
      <c r="K40" s="23"/>
      <c r="L40" s="24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spans="1:28" ht="15.75" customHeight="1">
      <c r="A41" s="16">
        <v>70</v>
      </c>
      <c r="B41" s="17"/>
      <c r="C41" s="17">
        <v>130</v>
      </c>
      <c r="D41" s="21">
        <f t="shared" si="5"/>
        <v>260</v>
      </c>
      <c r="E41" s="22">
        <v>660</v>
      </c>
      <c r="F41" s="21">
        <f t="shared" si="6"/>
        <v>1320</v>
      </c>
      <c r="G41" s="23"/>
      <c r="H41" s="24"/>
      <c r="I41" s="23"/>
      <c r="J41" s="24"/>
      <c r="K41" s="23"/>
      <c r="L41" s="24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 spans="1:28" ht="15.75" customHeight="1">
      <c r="A42" s="16">
        <v>100</v>
      </c>
      <c r="B42" s="17"/>
      <c r="C42" s="17">
        <v>130</v>
      </c>
      <c r="D42" s="21">
        <f t="shared" si="5"/>
        <v>260</v>
      </c>
      <c r="E42" s="22">
        <v>610</v>
      </c>
      <c r="F42" s="21">
        <f t="shared" si="6"/>
        <v>1220</v>
      </c>
      <c r="G42" s="23"/>
      <c r="H42" s="24"/>
      <c r="I42" s="23"/>
      <c r="J42" s="24"/>
      <c r="K42" s="23"/>
      <c r="L42" s="24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 spans="1:28" ht="15.75" customHeight="1">
      <c r="A43" s="16">
        <v>150</v>
      </c>
      <c r="B43" s="17"/>
      <c r="C43" s="17">
        <v>130</v>
      </c>
      <c r="D43" s="21">
        <f t="shared" si="5"/>
        <v>260</v>
      </c>
      <c r="E43" s="22">
        <v>560</v>
      </c>
      <c r="F43" s="21">
        <f t="shared" si="6"/>
        <v>1120</v>
      </c>
      <c r="G43" s="23"/>
      <c r="H43" s="24"/>
      <c r="I43" s="23"/>
      <c r="J43" s="24"/>
      <c r="K43" s="23"/>
      <c r="L43" s="24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 spans="1:28" ht="15.75" customHeight="1">
      <c r="A44" s="16">
        <v>200</v>
      </c>
      <c r="B44" s="17"/>
      <c r="C44" s="17">
        <v>130</v>
      </c>
      <c r="D44" s="21">
        <f t="shared" si="5"/>
        <v>260</v>
      </c>
      <c r="E44" s="22">
        <v>510</v>
      </c>
      <c r="F44" s="21">
        <f t="shared" si="6"/>
        <v>1020</v>
      </c>
      <c r="G44" s="23"/>
      <c r="H44" s="24"/>
      <c r="I44" s="23"/>
      <c r="J44" s="24"/>
      <c r="K44" s="23"/>
      <c r="L44" s="24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 spans="1:28" ht="15.75" customHeight="1">
      <c r="A45" s="16">
        <v>250</v>
      </c>
      <c r="B45" s="17"/>
      <c r="C45" s="17">
        <v>110</v>
      </c>
      <c r="D45" s="21">
        <f t="shared" si="5"/>
        <v>220</v>
      </c>
      <c r="E45" s="22">
        <v>460</v>
      </c>
      <c r="F45" s="21">
        <f t="shared" si="6"/>
        <v>920</v>
      </c>
      <c r="G45" s="23"/>
      <c r="H45" s="24"/>
      <c r="I45" s="23"/>
      <c r="J45" s="24"/>
      <c r="K45" s="23"/>
      <c r="L45" s="24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 spans="1:28" ht="15.75" customHeight="1">
      <c r="A46" s="16">
        <v>300</v>
      </c>
      <c r="B46" s="17"/>
      <c r="C46" s="17">
        <v>110</v>
      </c>
      <c r="D46" s="21">
        <f t="shared" si="5"/>
        <v>220</v>
      </c>
      <c r="E46" s="22">
        <v>410</v>
      </c>
      <c r="F46" s="21">
        <f t="shared" si="6"/>
        <v>820</v>
      </c>
      <c r="G46" s="23"/>
      <c r="H46" s="24"/>
      <c r="I46" s="23"/>
      <c r="J46" s="24"/>
      <c r="K46" s="23"/>
      <c r="L46" s="24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 spans="1:28" ht="15.75" customHeight="1">
      <c r="A47" s="16">
        <v>400</v>
      </c>
      <c r="B47" s="17"/>
      <c r="C47" s="17">
        <v>110</v>
      </c>
      <c r="D47" s="21">
        <f t="shared" si="5"/>
        <v>220</v>
      </c>
      <c r="E47" s="22">
        <v>360</v>
      </c>
      <c r="F47" s="21">
        <f t="shared" si="6"/>
        <v>720</v>
      </c>
      <c r="G47" s="23"/>
      <c r="H47" s="24"/>
      <c r="I47" s="23"/>
      <c r="J47" s="24"/>
      <c r="K47" s="23"/>
      <c r="L47" s="24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 spans="1:28" ht="15.75" customHeight="1">
      <c r="A48" s="16">
        <v>500</v>
      </c>
      <c r="B48" s="17"/>
      <c r="C48" s="17">
        <v>110</v>
      </c>
      <c r="D48" s="21">
        <f t="shared" si="5"/>
        <v>220</v>
      </c>
      <c r="E48" s="22">
        <v>340</v>
      </c>
      <c r="F48" s="21">
        <f t="shared" si="6"/>
        <v>680</v>
      </c>
      <c r="G48" s="23"/>
      <c r="H48" s="24"/>
      <c r="I48" s="23"/>
      <c r="J48" s="24"/>
      <c r="K48" s="23"/>
      <c r="L48" s="24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 spans="1:28" ht="15.75" customHeight="1">
      <c r="A49" s="16">
        <v>700</v>
      </c>
      <c r="B49" s="17"/>
      <c r="C49" s="17">
        <v>100</v>
      </c>
      <c r="D49" s="21">
        <f t="shared" si="5"/>
        <v>200</v>
      </c>
      <c r="E49" s="22">
        <v>320</v>
      </c>
      <c r="F49" s="21">
        <f t="shared" si="6"/>
        <v>640</v>
      </c>
      <c r="G49" s="23"/>
      <c r="H49" s="24"/>
      <c r="I49" s="23"/>
      <c r="J49" s="24"/>
      <c r="K49" s="23"/>
      <c r="L49" s="24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 spans="1:28" ht="15.75" customHeight="1">
      <c r="A50" s="16">
        <v>900</v>
      </c>
      <c r="B50" s="17"/>
      <c r="C50" s="17">
        <v>100</v>
      </c>
      <c r="D50" s="21">
        <f t="shared" si="5"/>
        <v>200</v>
      </c>
      <c r="E50" s="22">
        <v>300</v>
      </c>
      <c r="F50" s="21">
        <f t="shared" si="6"/>
        <v>600</v>
      </c>
      <c r="G50" s="23"/>
      <c r="H50" s="24"/>
      <c r="I50" s="23"/>
      <c r="J50" s="24"/>
      <c r="K50" s="23"/>
      <c r="L50" s="24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spans="1:28" ht="15.75" customHeight="1">
      <c r="A51" s="16">
        <v>1000</v>
      </c>
      <c r="B51" s="17"/>
      <c r="C51" s="17">
        <v>100</v>
      </c>
      <c r="D51" s="21">
        <f t="shared" si="5"/>
        <v>200</v>
      </c>
      <c r="E51" s="22">
        <v>280</v>
      </c>
      <c r="F51" s="21">
        <f t="shared" si="6"/>
        <v>560</v>
      </c>
      <c r="G51" s="23"/>
      <c r="H51" s="24"/>
      <c r="I51" s="23"/>
      <c r="J51" s="24"/>
      <c r="K51" s="23"/>
      <c r="L51" s="24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spans="1:28" ht="15.75" customHeight="1">
      <c r="A52" s="16">
        <v>1500</v>
      </c>
      <c r="B52" s="17"/>
      <c r="C52" s="17">
        <v>100</v>
      </c>
      <c r="D52" s="21">
        <f t="shared" si="5"/>
        <v>200</v>
      </c>
      <c r="E52" s="22">
        <v>280</v>
      </c>
      <c r="F52" s="21">
        <f t="shared" si="6"/>
        <v>560</v>
      </c>
      <c r="G52" s="23"/>
      <c r="H52" s="24"/>
      <c r="I52" s="23"/>
      <c r="J52" s="24"/>
      <c r="K52" s="23"/>
      <c r="L52" s="24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spans="1:28" ht="15.75" customHeight="1">
      <c r="A53" s="16">
        <v>2500</v>
      </c>
      <c r="B53" s="17"/>
      <c r="C53" s="17">
        <v>90</v>
      </c>
      <c r="D53" s="21">
        <f t="shared" si="5"/>
        <v>180</v>
      </c>
      <c r="E53" s="22">
        <v>240</v>
      </c>
      <c r="F53" s="21">
        <f t="shared" si="6"/>
        <v>480</v>
      </c>
      <c r="G53" s="23"/>
      <c r="H53" s="24"/>
      <c r="I53" s="23"/>
      <c r="J53" s="24"/>
      <c r="K53" s="23"/>
      <c r="L53" s="24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 spans="1:28" ht="15.75" customHeight="1">
      <c r="A54" s="16">
        <v>5000</v>
      </c>
      <c r="B54" s="17"/>
      <c r="C54" s="17">
        <v>90</v>
      </c>
      <c r="D54" s="21">
        <f t="shared" si="5"/>
        <v>180</v>
      </c>
      <c r="E54" s="22">
        <v>240</v>
      </c>
      <c r="F54" s="21">
        <f t="shared" si="6"/>
        <v>480</v>
      </c>
      <c r="G54" s="23"/>
      <c r="H54" s="24"/>
      <c r="I54" s="23"/>
      <c r="J54" s="24"/>
      <c r="K54" s="23"/>
      <c r="L54" s="24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 spans="1:28" ht="15.75" customHeight="1">
      <c r="A55" s="16">
        <v>1000000</v>
      </c>
      <c r="B55" s="17"/>
      <c r="C55" s="17">
        <v>90</v>
      </c>
      <c r="D55" s="21">
        <f t="shared" si="5"/>
        <v>180</v>
      </c>
      <c r="E55" s="22">
        <v>240</v>
      </c>
      <c r="F55" s="21">
        <f t="shared" si="6"/>
        <v>480</v>
      </c>
      <c r="G55" s="23"/>
      <c r="H55" s="24"/>
      <c r="I55" s="23"/>
      <c r="J55" s="24"/>
      <c r="K55" s="23"/>
      <c r="L55" s="24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spans="1:28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spans="1:28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 spans="1:2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 spans="1:28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 spans="1:28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 spans="1:28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 spans="1:28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 spans="1:28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 spans="1:28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 spans="1:28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 spans="1:28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 spans="1:28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spans="1:2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 spans="1:28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 spans="1:28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 spans="1:28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 spans="1:28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 spans="1:28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 spans="1:28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 spans="1:28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 spans="1:28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 spans="1:28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 spans="1:2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 spans="1:28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 spans="1:28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 spans="1:28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 spans="1:28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spans="1:28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 spans="1:28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 spans="1:28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 spans="1:28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 spans="1:28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 spans="1:2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 spans="1:28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 spans="1:28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spans="1:28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 spans="1:28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 spans="1:28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 spans="1:28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 spans="1:28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spans="1:28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 spans="1:28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 spans="1:2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 spans="1:28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 spans="1:28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 spans="1:28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 spans="1:28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 spans="1:28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 spans="1:28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 spans="1:28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 spans="1:28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 spans="1:28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 spans="1:2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 spans="1:28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 spans="1:28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 spans="1:28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  <row r="112" spans="1:28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</row>
    <row r="113" spans="1:28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</row>
    <row r="114" spans="1:28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</row>
    <row r="115" spans="1:28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</row>
    <row r="116" spans="1:28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</row>
    <row r="117" spans="1:28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</row>
    <row r="118" spans="1:2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</row>
    <row r="119" spans="1:28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</row>
    <row r="120" spans="1:28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</row>
    <row r="121" spans="1:28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</row>
    <row r="122" spans="1:28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</row>
    <row r="123" spans="1:28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</row>
    <row r="124" spans="1:28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</row>
    <row r="125" spans="1:28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</row>
    <row r="126" spans="1:28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</row>
    <row r="127" spans="1:28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</row>
    <row r="128" spans="1: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</row>
    <row r="129" spans="1:28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</row>
    <row r="130" spans="1:28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</row>
    <row r="131" spans="1:28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</row>
    <row r="132" spans="1:28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</row>
    <row r="133" spans="1:28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</row>
    <row r="134" spans="1:28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</row>
    <row r="135" spans="1:28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</row>
    <row r="136" spans="1:28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</row>
    <row r="137" spans="1:28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</row>
    <row r="138" spans="1:2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</row>
    <row r="139" spans="1:28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</row>
    <row r="140" spans="1:28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</row>
    <row r="141" spans="1:28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</row>
    <row r="142" spans="1:28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</row>
    <row r="143" spans="1:28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</row>
    <row r="144" spans="1:28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</row>
    <row r="145" spans="1:28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</row>
    <row r="146" spans="1:28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</row>
    <row r="147" spans="1:28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</row>
    <row r="148" spans="1:2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</row>
    <row r="149" spans="1:28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</row>
    <row r="150" spans="1:28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</row>
    <row r="151" spans="1:28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</row>
    <row r="152" spans="1:28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</row>
    <row r="153" spans="1:28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</row>
    <row r="154" spans="1:28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</row>
    <row r="155" spans="1:28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</row>
    <row r="156" spans="1:28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</row>
    <row r="157" spans="1:28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</row>
    <row r="158" spans="1:2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</row>
    <row r="159" spans="1:28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</row>
    <row r="160" spans="1:28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</row>
    <row r="161" spans="1:28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</row>
    <row r="162" spans="1:28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</row>
    <row r="163" spans="1:28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</row>
    <row r="164" spans="1:28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</row>
    <row r="165" spans="1:28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</row>
    <row r="166" spans="1:28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</row>
    <row r="167" spans="1:28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</row>
    <row r="168" spans="1:2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</row>
    <row r="169" spans="1:28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</row>
    <row r="170" spans="1:28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</row>
    <row r="171" spans="1:28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</row>
    <row r="172" spans="1:28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</row>
    <row r="173" spans="1:28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</row>
    <row r="174" spans="1:28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</row>
    <row r="175" spans="1:28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</row>
    <row r="176" spans="1:28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</row>
    <row r="177" spans="1:28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</row>
    <row r="178" spans="1:2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</row>
    <row r="179" spans="1:28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</row>
    <row r="180" spans="1:28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</row>
    <row r="181" spans="1:28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</row>
    <row r="182" spans="1:28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</row>
    <row r="183" spans="1:28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</row>
    <row r="184" spans="1:28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</row>
    <row r="185" spans="1:28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</row>
    <row r="186" spans="1:28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</row>
    <row r="187" spans="1:28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</row>
    <row r="188" spans="1:2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</row>
    <row r="189" spans="1:28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</row>
    <row r="190" spans="1:28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</row>
    <row r="191" spans="1:28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</row>
    <row r="192" spans="1:28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</row>
    <row r="193" spans="1:28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</row>
    <row r="194" spans="1:28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</row>
    <row r="195" spans="1:28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</row>
    <row r="196" spans="1:28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</row>
    <row r="197" spans="1:28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</row>
    <row r="198" spans="1:2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</row>
    <row r="199" spans="1:28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</row>
    <row r="200" spans="1:28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</row>
    <row r="201" spans="1:28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</row>
    <row r="202" spans="1:28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</row>
    <row r="203" spans="1:28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</row>
    <row r="204" spans="1:28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</row>
    <row r="205" spans="1:28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</row>
    <row r="206" spans="1:28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</row>
    <row r="207" spans="1:28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</row>
    <row r="208" spans="1:2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</row>
    <row r="209" spans="1:28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</row>
    <row r="210" spans="1:28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</row>
    <row r="211" spans="1:28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</row>
    <row r="212" spans="1:28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</row>
    <row r="213" spans="1:28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</row>
    <row r="214" spans="1:28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</row>
    <row r="215" spans="1:28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</row>
    <row r="216" spans="1:28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</row>
    <row r="217" spans="1:28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</row>
    <row r="218" spans="1:2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</row>
    <row r="219" spans="1:28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</row>
    <row r="220" spans="1:28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</row>
    <row r="221" spans="1:28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</row>
    <row r="222" spans="1:28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</row>
    <row r="223" spans="1:28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</row>
    <row r="224" spans="1:28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</row>
    <row r="225" spans="1:28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</row>
    <row r="226" spans="1:28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</row>
    <row r="227" spans="1:28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</row>
    <row r="228" spans="1: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</row>
    <row r="229" spans="1:28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</row>
    <row r="230" spans="1:28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</row>
    <row r="231" spans="1:28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</row>
    <row r="232" spans="1:28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</row>
    <row r="233" spans="1:28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</row>
    <row r="234" spans="1:28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</row>
    <row r="235" spans="1:28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</row>
    <row r="236" spans="1:28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</row>
    <row r="237" spans="1:28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</row>
    <row r="238" spans="1:2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</row>
    <row r="239" spans="1:28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</row>
    <row r="240" spans="1:28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</row>
    <row r="241" spans="1:28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</row>
    <row r="242" spans="1:28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</row>
    <row r="243" spans="1:28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</row>
    <row r="244" spans="1:28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</row>
    <row r="245" spans="1:28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</row>
    <row r="246" spans="1:28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</row>
    <row r="247" spans="1:28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</row>
    <row r="248" spans="1:2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</row>
    <row r="249" spans="1:28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</row>
    <row r="250" spans="1:28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</row>
    <row r="251" spans="1:28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</row>
    <row r="252" spans="1:28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</row>
    <row r="253" spans="1:28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</row>
    <row r="254" spans="1:28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</row>
    <row r="255" spans="1:28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</row>
    <row r="256" spans="1:28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37" type="noConversion"/>
  <printOptions horizontalCentered="1" gridLines="1"/>
  <pageMargins left="0.7" right="0.7" top="0.75" bottom="0.75" header="0" footer="0"/>
  <pageSetup paperSize="9" pageOrder="overThenDown" orientation="portrait" cellComments="atEnd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  <pageSetUpPr fitToPage="1"/>
  </sheetPr>
  <dimension ref="A1:BN1000"/>
  <sheetViews>
    <sheetView workbookViewId="0"/>
  </sheetViews>
  <sheetFormatPr defaultColWidth="12.5703125" defaultRowHeight="15" customHeight="1"/>
  <cols>
    <col min="1" max="1" width="20.85546875" customWidth="1"/>
    <col min="2" max="6" width="12.5703125" customWidth="1"/>
  </cols>
  <sheetData>
    <row r="1" spans="1:66" ht="15.75" customHeight="1">
      <c r="A1" s="181" t="s">
        <v>119</v>
      </c>
      <c r="B1" s="182"/>
      <c r="C1" s="182"/>
      <c r="D1" s="182"/>
      <c r="E1" s="182"/>
      <c r="F1" s="182"/>
      <c r="G1" s="182"/>
      <c r="H1" s="182"/>
      <c r="I1" s="182"/>
      <c r="J1" s="182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5"/>
      <c r="AK1" s="25"/>
      <c r="AL1" s="25"/>
      <c r="AM1" s="25"/>
      <c r="AN1" s="25"/>
      <c r="AO1" s="25"/>
      <c r="AP1" s="25"/>
      <c r="AQ1" s="25"/>
      <c r="AR1" s="25"/>
      <c r="AS1" s="25"/>
      <c r="AT1" s="25"/>
      <c r="AU1" s="25"/>
      <c r="AV1" s="25"/>
      <c r="AW1" s="25"/>
      <c r="AX1" s="25"/>
      <c r="AY1" s="25"/>
      <c r="AZ1" s="25"/>
      <c r="BA1" s="25"/>
      <c r="BB1" s="25"/>
      <c r="BC1" s="25"/>
      <c r="BD1" s="25"/>
      <c r="BE1" s="25"/>
      <c r="BF1" s="25"/>
      <c r="BG1" s="25"/>
      <c r="BH1" s="25"/>
      <c r="BI1" s="25"/>
      <c r="BJ1" s="25"/>
      <c r="BK1" s="25"/>
      <c r="BL1" s="25"/>
      <c r="BM1" s="25"/>
      <c r="BN1" s="25"/>
    </row>
    <row r="2" spans="1:66" ht="15.75" customHeight="1">
      <c r="A2" s="25"/>
      <c r="B2" s="21">
        <v>1</v>
      </c>
      <c r="C2" s="21">
        <v>30</v>
      </c>
      <c r="D2" s="21">
        <v>50</v>
      </c>
      <c r="E2" s="21">
        <v>70</v>
      </c>
      <c r="F2" s="21">
        <v>90</v>
      </c>
      <c r="G2" s="21">
        <v>110</v>
      </c>
      <c r="H2" s="21">
        <v>130</v>
      </c>
      <c r="I2" s="21">
        <v>150</v>
      </c>
      <c r="J2" s="21">
        <v>170</v>
      </c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  <c r="AR2" s="25"/>
      <c r="AS2" s="25"/>
      <c r="AT2" s="25"/>
      <c r="AU2" s="25"/>
      <c r="AV2" s="25"/>
      <c r="AW2" s="25"/>
      <c r="AX2" s="25"/>
      <c r="AY2" s="25"/>
      <c r="AZ2" s="25"/>
      <c r="BA2" s="25"/>
      <c r="BB2" s="25"/>
      <c r="BC2" s="25"/>
      <c r="BD2" s="25"/>
      <c r="BE2" s="25"/>
      <c r="BF2" s="25"/>
      <c r="BG2" s="25"/>
      <c r="BH2" s="25"/>
      <c r="BI2" s="25"/>
      <c r="BJ2" s="25"/>
      <c r="BK2" s="25"/>
      <c r="BL2" s="25"/>
      <c r="BM2" s="25"/>
      <c r="BN2" s="25"/>
    </row>
    <row r="3" spans="1:66" ht="15.75" customHeight="1">
      <c r="A3" s="21">
        <v>1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</row>
    <row r="4" spans="1:66" ht="15.75" customHeight="1">
      <c r="A4" s="21">
        <v>30</v>
      </c>
      <c r="B4" s="25"/>
      <c r="C4" s="26">
        <v>11000</v>
      </c>
      <c r="D4" s="21">
        <v>11000</v>
      </c>
      <c r="E4" s="21">
        <v>11000</v>
      </c>
      <c r="F4" s="21">
        <v>11000</v>
      </c>
      <c r="G4" s="21">
        <v>11000</v>
      </c>
      <c r="H4" s="21">
        <v>11000</v>
      </c>
      <c r="I4" s="21">
        <v>11000</v>
      </c>
      <c r="J4" s="21">
        <v>12000</v>
      </c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</row>
    <row r="5" spans="1:66" ht="15.75" customHeight="1">
      <c r="A5" s="21">
        <v>50</v>
      </c>
      <c r="B5" s="25"/>
      <c r="C5" s="26">
        <v>11000</v>
      </c>
      <c r="D5" s="26">
        <v>11000</v>
      </c>
      <c r="E5" s="21">
        <v>11000</v>
      </c>
      <c r="F5" s="21">
        <v>11000</v>
      </c>
      <c r="G5" s="21">
        <v>12000</v>
      </c>
      <c r="H5" s="21">
        <v>15000</v>
      </c>
      <c r="I5" s="21">
        <v>17000</v>
      </c>
      <c r="J5" s="21">
        <v>19000</v>
      </c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</row>
    <row r="6" spans="1:66" ht="15.75" customHeight="1">
      <c r="A6" s="21">
        <v>70</v>
      </c>
      <c r="B6" s="25"/>
      <c r="C6" s="26">
        <v>11000</v>
      </c>
      <c r="D6" s="26">
        <v>11000</v>
      </c>
      <c r="E6" s="26">
        <v>11000</v>
      </c>
      <c r="F6" s="21">
        <v>14000</v>
      </c>
      <c r="G6" s="21">
        <v>17000</v>
      </c>
      <c r="H6" s="21">
        <v>20000</v>
      </c>
      <c r="I6" s="21">
        <v>23000</v>
      </c>
      <c r="J6" s="21">
        <v>27000</v>
      </c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  <c r="AR6" s="25"/>
      <c r="AS6" s="25"/>
      <c r="AT6" s="25"/>
      <c r="AU6" s="25"/>
      <c r="AV6" s="25"/>
      <c r="AW6" s="25"/>
      <c r="AX6" s="25"/>
      <c r="AY6" s="25"/>
      <c r="AZ6" s="25"/>
      <c r="BA6" s="25"/>
      <c r="BB6" s="25"/>
      <c r="BC6" s="25"/>
      <c r="BD6" s="25"/>
      <c r="BE6" s="25"/>
      <c r="BF6" s="25"/>
      <c r="BG6" s="25"/>
      <c r="BH6" s="25"/>
      <c r="BI6" s="25"/>
      <c r="BJ6" s="25"/>
      <c r="BK6" s="25"/>
      <c r="BL6" s="25"/>
      <c r="BM6" s="25"/>
      <c r="BN6" s="25"/>
    </row>
    <row r="7" spans="1:66" ht="15.75" customHeight="1">
      <c r="A7" s="21">
        <v>90</v>
      </c>
      <c r="B7" s="25"/>
      <c r="C7" s="26">
        <v>11000</v>
      </c>
      <c r="D7" s="26">
        <v>11000</v>
      </c>
      <c r="E7" s="26">
        <v>14000</v>
      </c>
      <c r="F7" s="26">
        <v>18000</v>
      </c>
      <c r="G7" s="21">
        <v>22000</v>
      </c>
      <c r="H7" s="21">
        <v>26000</v>
      </c>
      <c r="I7" s="21">
        <v>30000</v>
      </c>
      <c r="J7" s="21">
        <v>34000</v>
      </c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  <c r="AR7" s="25"/>
      <c r="AS7" s="25"/>
      <c r="AT7" s="25"/>
      <c r="AU7" s="25"/>
      <c r="AV7" s="25"/>
      <c r="AW7" s="25"/>
      <c r="AX7" s="25"/>
      <c r="AY7" s="25"/>
      <c r="AZ7" s="25"/>
      <c r="BA7" s="25"/>
      <c r="BB7" s="25"/>
      <c r="BC7" s="25"/>
      <c r="BD7" s="25"/>
      <c r="BE7" s="25"/>
      <c r="BF7" s="25"/>
      <c r="BG7" s="25"/>
      <c r="BH7" s="25"/>
      <c r="BI7" s="25"/>
      <c r="BJ7" s="25"/>
      <c r="BK7" s="25"/>
      <c r="BL7" s="25"/>
      <c r="BM7" s="25"/>
      <c r="BN7" s="25"/>
    </row>
    <row r="8" spans="1:66" ht="15.75" customHeight="1">
      <c r="A8" s="21">
        <v>110</v>
      </c>
      <c r="B8" s="25"/>
      <c r="C8" s="26">
        <v>11000</v>
      </c>
      <c r="D8" s="26">
        <v>12000</v>
      </c>
      <c r="E8" s="26">
        <v>17000</v>
      </c>
      <c r="F8" s="26">
        <v>22000</v>
      </c>
      <c r="G8" s="26">
        <v>27000</v>
      </c>
      <c r="H8" s="21">
        <v>32000</v>
      </c>
      <c r="I8" s="21">
        <v>37000</v>
      </c>
      <c r="J8" s="21">
        <v>42000</v>
      </c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  <c r="AR8" s="25"/>
      <c r="AS8" s="25"/>
      <c r="AT8" s="25"/>
      <c r="AU8" s="25"/>
      <c r="AV8" s="25"/>
      <c r="AW8" s="25"/>
      <c r="AX8" s="25"/>
      <c r="AY8" s="25"/>
      <c r="AZ8" s="25"/>
      <c r="BA8" s="25"/>
      <c r="BB8" s="25"/>
      <c r="BC8" s="25"/>
      <c r="BD8" s="25"/>
      <c r="BE8" s="25"/>
      <c r="BF8" s="25"/>
      <c r="BG8" s="25"/>
      <c r="BH8" s="25"/>
      <c r="BI8" s="25"/>
      <c r="BJ8" s="25"/>
      <c r="BK8" s="25"/>
      <c r="BL8" s="25"/>
      <c r="BM8" s="25"/>
      <c r="BN8" s="25"/>
    </row>
    <row r="9" spans="1:66" ht="15.75" customHeight="1">
      <c r="A9" s="21">
        <v>130</v>
      </c>
      <c r="B9" s="25"/>
      <c r="C9" s="26">
        <v>11000</v>
      </c>
      <c r="D9" s="26">
        <v>15000</v>
      </c>
      <c r="E9" s="26">
        <v>20000</v>
      </c>
      <c r="F9" s="26">
        <v>26000</v>
      </c>
      <c r="G9" s="26">
        <v>32000</v>
      </c>
      <c r="H9" s="26">
        <v>38000</v>
      </c>
      <c r="I9" s="21">
        <v>43000</v>
      </c>
      <c r="J9" s="21">
        <v>49000</v>
      </c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  <c r="AR9" s="25"/>
      <c r="AS9" s="25"/>
      <c r="AT9" s="25"/>
      <c r="AU9" s="25"/>
      <c r="AV9" s="25"/>
      <c r="AW9" s="25"/>
      <c r="AX9" s="25"/>
      <c r="AY9" s="25"/>
      <c r="AZ9" s="25"/>
      <c r="BA9" s="25"/>
      <c r="BB9" s="25"/>
      <c r="BC9" s="25"/>
      <c r="BD9" s="25"/>
      <c r="BE9" s="25"/>
      <c r="BF9" s="25"/>
      <c r="BG9" s="25"/>
      <c r="BH9" s="25"/>
      <c r="BI9" s="25"/>
      <c r="BJ9" s="25"/>
      <c r="BK9" s="25"/>
      <c r="BL9" s="25"/>
      <c r="BM9" s="25"/>
      <c r="BN9" s="25"/>
    </row>
    <row r="10" spans="1:66" ht="15.75" customHeight="1">
      <c r="A10" s="21">
        <v>150</v>
      </c>
      <c r="B10" s="25"/>
      <c r="C10" s="26">
        <v>11000</v>
      </c>
      <c r="D10" s="26">
        <v>17000</v>
      </c>
      <c r="E10" s="26">
        <v>23000</v>
      </c>
      <c r="F10" s="26">
        <v>30000</v>
      </c>
      <c r="G10" s="26">
        <v>37000</v>
      </c>
      <c r="H10" s="26">
        <v>43000</v>
      </c>
      <c r="I10" s="26">
        <v>50000</v>
      </c>
      <c r="J10" s="21">
        <v>56000</v>
      </c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  <c r="AR10" s="25"/>
      <c r="AS10" s="25"/>
      <c r="AT10" s="25"/>
      <c r="AU10" s="25"/>
      <c r="AV10" s="25"/>
      <c r="AW10" s="25"/>
      <c r="AX10" s="25"/>
      <c r="AY10" s="25"/>
      <c r="AZ10" s="25"/>
      <c r="BA10" s="25"/>
      <c r="BB10" s="25"/>
      <c r="BC10" s="25"/>
      <c r="BD10" s="25"/>
      <c r="BE10" s="25"/>
      <c r="BF10" s="25"/>
      <c r="BG10" s="25"/>
      <c r="BH10" s="25"/>
      <c r="BI10" s="25"/>
      <c r="BJ10" s="25"/>
      <c r="BK10" s="25"/>
      <c r="BL10" s="25"/>
      <c r="BM10" s="25"/>
      <c r="BN10" s="25"/>
    </row>
    <row r="11" spans="1:66" ht="15.75" customHeight="1">
      <c r="A11" s="21">
        <v>170</v>
      </c>
      <c r="B11" s="25"/>
      <c r="C11" s="26">
        <v>12000</v>
      </c>
      <c r="D11" s="26">
        <v>19000</v>
      </c>
      <c r="E11" s="26">
        <v>27000</v>
      </c>
      <c r="F11" s="26">
        <v>34000</v>
      </c>
      <c r="G11" s="26">
        <v>42000</v>
      </c>
      <c r="H11" s="26">
        <v>49000</v>
      </c>
      <c r="I11" s="26">
        <v>56000</v>
      </c>
      <c r="J11" s="26">
        <v>64000</v>
      </c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  <c r="AR11" s="25"/>
      <c r="AS11" s="25"/>
      <c r="AT11" s="25"/>
      <c r="AU11" s="25"/>
      <c r="AV11" s="25"/>
      <c r="AW11" s="25"/>
      <c r="AX11" s="25"/>
      <c r="AY11" s="25"/>
      <c r="AZ11" s="25"/>
      <c r="BA11" s="25"/>
      <c r="BB11" s="25"/>
      <c r="BC11" s="25"/>
      <c r="BD11" s="25"/>
      <c r="BE11" s="25"/>
      <c r="BF11" s="25"/>
      <c r="BG11" s="25"/>
      <c r="BH11" s="25"/>
      <c r="BI11" s="25"/>
      <c r="BJ11" s="25"/>
      <c r="BK11" s="25"/>
      <c r="BL11" s="25"/>
      <c r="BM11" s="25"/>
      <c r="BN11" s="25"/>
    </row>
    <row r="12" spans="1:66" ht="15.75" customHeight="1">
      <c r="A12" s="25"/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  <c r="AR12" s="25"/>
      <c r="AS12" s="25"/>
      <c r="AT12" s="25"/>
      <c r="AU12" s="25"/>
      <c r="AV12" s="25"/>
      <c r="AW12" s="25"/>
      <c r="AX12" s="25"/>
      <c r="AY12" s="25"/>
      <c r="AZ12" s="25"/>
      <c r="BA12" s="25"/>
      <c r="BB12" s="25"/>
      <c r="BC12" s="25"/>
      <c r="BD12" s="25"/>
      <c r="BE12" s="25"/>
      <c r="BF12" s="25"/>
      <c r="BG12" s="25"/>
      <c r="BH12" s="25"/>
      <c r="BI12" s="25"/>
      <c r="BJ12" s="25"/>
      <c r="BK12" s="25"/>
      <c r="BL12" s="25"/>
      <c r="BM12" s="25"/>
      <c r="BN12" s="25"/>
    </row>
    <row r="13" spans="1:66" ht="15.75" customHeight="1">
      <c r="A13" s="183" t="s">
        <v>120</v>
      </c>
      <c r="B13" s="182"/>
      <c r="C13" s="182"/>
      <c r="D13" s="182"/>
      <c r="E13" s="182"/>
      <c r="F13" s="182"/>
      <c r="G13" s="182"/>
      <c r="H13" s="182"/>
      <c r="I13" s="182"/>
      <c r="J13" s="182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  <c r="AR13" s="25"/>
      <c r="AS13" s="25"/>
      <c r="AT13" s="25"/>
      <c r="AU13" s="25"/>
      <c r="AV13" s="25"/>
      <c r="AW13" s="25"/>
      <c r="AX13" s="25"/>
      <c r="AY13" s="25"/>
      <c r="AZ13" s="25"/>
      <c r="BA13" s="25"/>
      <c r="BB13" s="25"/>
      <c r="BC13" s="25"/>
      <c r="BD13" s="25"/>
      <c r="BE13" s="25"/>
      <c r="BF13" s="25"/>
      <c r="BG13" s="25"/>
      <c r="BH13" s="25"/>
      <c r="BI13" s="25"/>
      <c r="BJ13" s="25"/>
      <c r="BK13" s="25"/>
      <c r="BL13" s="25"/>
      <c r="BM13" s="25"/>
      <c r="BN13" s="25"/>
    </row>
    <row r="14" spans="1:66" ht="15.75" customHeight="1">
      <c r="A14" s="25"/>
      <c r="B14" s="21">
        <v>1</v>
      </c>
      <c r="C14" s="21" t="s">
        <v>121</v>
      </c>
      <c r="D14" s="21" t="s">
        <v>122</v>
      </c>
      <c r="E14" s="21" t="s">
        <v>123</v>
      </c>
      <c r="F14" s="21" t="s">
        <v>124</v>
      </c>
      <c r="G14" s="21" t="s">
        <v>125</v>
      </c>
      <c r="H14" s="21" t="s">
        <v>126</v>
      </c>
      <c r="I14" s="21" t="s">
        <v>127</v>
      </c>
      <c r="J14" s="21" t="s">
        <v>128</v>
      </c>
      <c r="K14" s="21" t="s">
        <v>129</v>
      </c>
      <c r="L14" s="21" t="s">
        <v>130</v>
      </c>
      <c r="M14" s="21" t="s">
        <v>131</v>
      </c>
      <c r="N14" s="21" t="s">
        <v>132</v>
      </c>
      <c r="O14" s="21" t="s">
        <v>133</v>
      </c>
      <c r="P14" s="21" t="s">
        <v>134</v>
      </c>
      <c r="Q14" s="21" t="s">
        <v>135</v>
      </c>
      <c r="R14" s="21" t="s">
        <v>136</v>
      </c>
      <c r="S14" s="21" t="s">
        <v>137</v>
      </c>
      <c r="T14" s="21" t="s">
        <v>138</v>
      </c>
      <c r="U14" s="21" t="s">
        <v>139</v>
      </c>
      <c r="V14" s="21" t="s">
        <v>140</v>
      </c>
      <c r="W14" s="21" t="s">
        <v>141</v>
      </c>
      <c r="X14" s="21" t="s">
        <v>142</v>
      </c>
      <c r="Y14" s="21" t="s">
        <v>143</v>
      </c>
      <c r="Z14" s="21" t="s">
        <v>144</v>
      </c>
      <c r="AA14" s="21" t="s">
        <v>145</v>
      </c>
      <c r="AB14" s="21" t="s">
        <v>146</v>
      </c>
      <c r="AC14" s="21" t="s">
        <v>147</v>
      </c>
      <c r="AD14" s="21" t="s">
        <v>148</v>
      </c>
      <c r="AE14" s="21" t="s">
        <v>149</v>
      </c>
      <c r="AF14" s="21" t="s">
        <v>150</v>
      </c>
      <c r="AG14" s="21" t="s">
        <v>151</v>
      </c>
      <c r="AH14" s="21" t="s">
        <v>152</v>
      </c>
      <c r="AI14" s="21" t="s">
        <v>153</v>
      </c>
      <c r="AJ14" s="21" t="s">
        <v>154</v>
      </c>
      <c r="AK14" s="21" t="s">
        <v>155</v>
      </c>
      <c r="AL14" s="21" t="s">
        <v>156</v>
      </c>
      <c r="AM14" s="21" t="s">
        <v>157</v>
      </c>
      <c r="AN14" s="21" t="s">
        <v>158</v>
      </c>
      <c r="AO14" s="21" t="s">
        <v>159</v>
      </c>
      <c r="AP14" s="21" t="s">
        <v>160</v>
      </c>
      <c r="AQ14" s="21" t="s">
        <v>161</v>
      </c>
      <c r="AR14" s="21" t="s">
        <v>162</v>
      </c>
      <c r="AS14" s="21" t="s">
        <v>163</v>
      </c>
      <c r="AT14" s="21" t="s">
        <v>164</v>
      </c>
      <c r="AU14" s="21" t="s">
        <v>165</v>
      </c>
      <c r="AV14" s="21" t="s">
        <v>166</v>
      </c>
      <c r="AW14" s="21" t="s">
        <v>167</v>
      </c>
      <c r="AX14" s="21" t="s">
        <v>168</v>
      </c>
      <c r="AY14" s="21" t="s">
        <v>169</v>
      </c>
      <c r="AZ14" s="21" t="s">
        <v>170</v>
      </c>
      <c r="BA14" s="21" t="s">
        <v>171</v>
      </c>
      <c r="BB14" s="21" t="s">
        <v>172</v>
      </c>
      <c r="BC14" s="21" t="s">
        <v>173</v>
      </c>
      <c r="BD14" s="21" t="s">
        <v>174</v>
      </c>
      <c r="BE14" s="21" t="s">
        <v>175</v>
      </c>
      <c r="BF14" s="21" t="s">
        <v>176</v>
      </c>
      <c r="BG14" s="21" t="s">
        <v>177</v>
      </c>
      <c r="BH14" s="21" t="s">
        <v>178</v>
      </c>
      <c r="BI14" s="21" t="s">
        <v>179</v>
      </c>
      <c r="BJ14" s="21" t="s">
        <v>180</v>
      </c>
      <c r="BK14" s="21" t="s">
        <v>181</v>
      </c>
      <c r="BL14" s="21" t="s">
        <v>182</v>
      </c>
      <c r="BM14" s="21" t="s">
        <v>183</v>
      </c>
      <c r="BN14" s="21" t="s">
        <v>184</v>
      </c>
    </row>
    <row r="15" spans="1:66" ht="15.75" customHeight="1">
      <c r="A15" s="27">
        <v>1</v>
      </c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28"/>
      <c r="BC15" s="28"/>
      <c r="BD15" s="28"/>
      <c r="BE15" s="28"/>
      <c r="BF15" s="28"/>
      <c r="BG15" s="28"/>
      <c r="BH15" s="28"/>
      <c r="BI15" s="28"/>
      <c r="BJ15" s="28"/>
      <c r="BK15" s="28"/>
      <c r="BL15" s="28"/>
      <c r="BM15" s="28"/>
      <c r="BN15" s="28"/>
    </row>
    <row r="16" spans="1:66" ht="15.75" customHeight="1">
      <c r="A16" s="21">
        <v>10</v>
      </c>
      <c r="B16" s="25"/>
      <c r="C16" s="29">
        <v>55000</v>
      </c>
      <c r="D16" s="29">
        <v>55000</v>
      </c>
      <c r="E16" s="29">
        <v>55000</v>
      </c>
      <c r="F16" s="29">
        <v>55000</v>
      </c>
      <c r="G16" s="29">
        <v>55000</v>
      </c>
      <c r="H16" s="29">
        <v>55000</v>
      </c>
      <c r="I16" s="29">
        <v>55000</v>
      </c>
      <c r="J16" s="29">
        <v>65000</v>
      </c>
      <c r="K16" s="29">
        <v>55000</v>
      </c>
      <c r="L16" s="29">
        <v>55000</v>
      </c>
      <c r="M16" s="29">
        <v>55000</v>
      </c>
      <c r="N16" s="29">
        <v>55000</v>
      </c>
      <c r="O16" s="29">
        <v>65000</v>
      </c>
      <c r="P16" s="29">
        <v>65000</v>
      </c>
      <c r="Q16" s="29">
        <v>65000</v>
      </c>
      <c r="R16" s="29">
        <v>65000</v>
      </c>
      <c r="S16" s="29">
        <v>55000</v>
      </c>
      <c r="T16" s="29">
        <v>55000</v>
      </c>
      <c r="U16" s="29">
        <v>65000</v>
      </c>
      <c r="V16" s="29">
        <v>65000</v>
      </c>
      <c r="W16" s="29">
        <v>65000</v>
      </c>
      <c r="X16" s="29">
        <v>65000</v>
      </c>
      <c r="Y16" s="29">
        <v>65000</v>
      </c>
      <c r="Z16" s="29">
        <v>80000</v>
      </c>
      <c r="AA16" s="29">
        <v>55000</v>
      </c>
      <c r="AB16" s="29">
        <v>55000</v>
      </c>
      <c r="AC16" s="29">
        <v>65000</v>
      </c>
      <c r="AD16" s="29">
        <v>65000</v>
      </c>
      <c r="AE16" s="29">
        <v>65000</v>
      </c>
      <c r="AF16" s="29">
        <v>80000</v>
      </c>
      <c r="AG16" s="29">
        <v>80000</v>
      </c>
      <c r="AH16" s="29">
        <v>80000</v>
      </c>
      <c r="AI16" s="29">
        <v>55000</v>
      </c>
      <c r="AJ16" s="29">
        <v>65000</v>
      </c>
      <c r="AK16" s="29">
        <v>65000</v>
      </c>
      <c r="AL16" s="29">
        <v>65000</v>
      </c>
      <c r="AM16" s="29">
        <v>80000</v>
      </c>
      <c r="AN16" s="29">
        <v>80000</v>
      </c>
      <c r="AO16" s="29">
        <v>80000</v>
      </c>
      <c r="AP16" s="29">
        <v>80000</v>
      </c>
      <c r="AQ16" s="29">
        <v>55000</v>
      </c>
      <c r="AR16" s="29">
        <v>65000</v>
      </c>
      <c r="AS16" s="29">
        <v>65000</v>
      </c>
      <c r="AT16" s="29">
        <v>80000</v>
      </c>
      <c r="AU16" s="29">
        <v>80000</v>
      </c>
      <c r="AV16" s="29">
        <v>80000</v>
      </c>
      <c r="AW16" s="29">
        <v>80000</v>
      </c>
      <c r="AX16" s="29">
        <v>120000</v>
      </c>
      <c r="AY16" s="29">
        <v>55000</v>
      </c>
      <c r="AZ16" s="29">
        <v>65000</v>
      </c>
      <c r="BA16" s="29">
        <v>65000</v>
      </c>
      <c r="BB16" s="29">
        <v>80000</v>
      </c>
      <c r="BC16" s="29">
        <v>80000</v>
      </c>
      <c r="BD16" s="29">
        <v>80000</v>
      </c>
      <c r="BE16" s="29">
        <v>120000</v>
      </c>
      <c r="BF16" s="29">
        <v>120000</v>
      </c>
      <c r="BG16" s="29">
        <v>65000</v>
      </c>
      <c r="BH16" s="29">
        <v>65000</v>
      </c>
      <c r="BI16" s="29">
        <v>80000</v>
      </c>
      <c r="BJ16" s="29">
        <v>80000</v>
      </c>
      <c r="BK16" s="29">
        <v>80000</v>
      </c>
      <c r="BL16" s="29">
        <v>120000</v>
      </c>
      <c r="BM16" s="29">
        <v>120000</v>
      </c>
      <c r="BN16" s="29">
        <v>120000</v>
      </c>
    </row>
    <row r="17" spans="1:66" ht="15.75" customHeight="1">
      <c r="A17" s="21">
        <v>200</v>
      </c>
      <c r="B17" s="25"/>
      <c r="C17" s="30">
        <v>65000</v>
      </c>
      <c r="D17" s="30">
        <v>65000</v>
      </c>
      <c r="E17" s="30">
        <v>65000</v>
      </c>
      <c r="F17" s="30">
        <v>65000</v>
      </c>
      <c r="G17" s="30">
        <v>65000</v>
      </c>
      <c r="H17" s="30">
        <v>65000</v>
      </c>
      <c r="I17" s="30">
        <v>65000</v>
      </c>
      <c r="J17" s="30">
        <v>80000</v>
      </c>
      <c r="K17" s="30">
        <v>65000</v>
      </c>
      <c r="L17" s="30">
        <v>65000</v>
      </c>
      <c r="M17" s="30">
        <v>65000</v>
      </c>
      <c r="N17" s="30">
        <v>65000</v>
      </c>
      <c r="O17" s="30">
        <v>80000</v>
      </c>
      <c r="P17" s="30">
        <v>80000</v>
      </c>
      <c r="Q17" s="30">
        <v>80000</v>
      </c>
      <c r="R17" s="30">
        <v>80000</v>
      </c>
      <c r="S17" s="30">
        <v>65000</v>
      </c>
      <c r="T17" s="30">
        <v>65000</v>
      </c>
      <c r="U17" s="30">
        <v>80000</v>
      </c>
      <c r="V17" s="30">
        <v>80000</v>
      </c>
      <c r="W17" s="30">
        <v>80000</v>
      </c>
      <c r="X17" s="30">
        <v>80000</v>
      </c>
      <c r="Y17" s="30">
        <v>80000</v>
      </c>
      <c r="Z17" s="30">
        <v>120000</v>
      </c>
      <c r="AA17" s="30">
        <v>65000</v>
      </c>
      <c r="AB17" s="30">
        <v>65000</v>
      </c>
      <c r="AC17" s="30">
        <v>80000</v>
      </c>
      <c r="AD17" s="30">
        <v>90000</v>
      </c>
      <c r="AE17" s="30">
        <v>90000</v>
      </c>
      <c r="AF17" s="30">
        <v>120000</v>
      </c>
      <c r="AG17" s="30">
        <v>120000</v>
      </c>
      <c r="AH17" s="30">
        <v>120000</v>
      </c>
      <c r="AI17" s="30">
        <v>65000</v>
      </c>
      <c r="AJ17" s="30">
        <v>80000</v>
      </c>
      <c r="AK17" s="30">
        <v>80000</v>
      </c>
      <c r="AL17" s="30">
        <v>90000</v>
      </c>
      <c r="AM17" s="30">
        <v>120000</v>
      </c>
      <c r="AN17" s="30">
        <v>120000</v>
      </c>
      <c r="AO17" s="30">
        <v>120000</v>
      </c>
      <c r="AP17" s="30">
        <v>120000</v>
      </c>
      <c r="AQ17" s="30">
        <v>65000</v>
      </c>
      <c r="AR17" s="30">
        <v>80000</v>
      </c>
      <c r="AS17" s="30">
        <v>80000</v>
      </c>
      <c r="AT17" s="30">
        <v>120000</v>
      </c>
      <c r="AU17" s="30">
        <v>120000</v>
      </c>
      <c r="AV17" s="30">
        <v>120000</v>
      </c>
      <c r="AW17" s="30">
        <v>120000</v>
      </c>
      <c r="AX17" s="30">
        <v>160000</v>
      </c>
      <c r="AY17" s="30">
        <v>65000</v>
      </c>
      <c r="AZ17" s="30">
        <v>80000</v>
      </c>
      <c r="BA17" s="30">
        <v>80000</v>
      </c>
      <c r="BB17" s="30">
        <v>120000</v>
      </c>
      <c r="BC17" s="30">
        <v>120000</v>
      </c>
      <c r="BD17" s="30">
        <v>120000</v>
      </c>
      <c r="BE17" s="30">
        <v>160000</v>
      </c>
      <c r="BF17" s="30">
        <v>160000</v>
      </c>
      <c r="BG17" s="30">
        <v>80000</v>
      </c>
      <c r="BH17" s="30">
        <v>80000</v>
      </c>
      <c r="BI17" s="30">
        <v>120000</v>
      </c>
      <c r="BJ17" s="30">
        <v>120000</v>
      </c>
      <c r="BK17" s="30">
        <v>120000</v>
      </c>
      <c r="BL17" s="30">
        <v>160000</v>
      </c>
      <c r="BM17" s="30">
        <v>160000</v>
      </c>
      <c r="BN17" s="30">
        <v>160000</v>
      </c>
    </row>
    <row r="18" spans="1:66" ht="15.75" customHeight="1">
      <c r="A18" s="21">
        <v>500</v>
      </c>
      <c r="B18" s="25"/>
      <c r="C18" s="31">
        <v>70000</v>
      </c>
      <c r="D18" s="31">
        <v>70000</v>
      </c>
      <c r="E18" s="31">
        <v>70000</v>
      </c>
      <c r="F18" s="31">
        <v>70000</v>
      </c>
      <c r="G18" s="31">
        <v>70000</v>
      </c>
      <c r="H18" s="31">
        <v>70000</v>
      </c>
      <c r="I18" s="31">
        <v>70000</v>
      </c>
      <c r="J18" s="31">
        <v>85000</v>
      </c>
      <c r="K18" s="31">
        <v>70000</v>
      </c>
      <c r="L18" s="31">
        <v>70000</v>
      </c>
      <c r="M18" s="31">
        <v>70000</v>
      </c>
      <c r="N18" s="31">
        <v>70000</v>
      </c>
      <c r="O18" s="31">
        <v>85000</v>
      </c>
      <c r="P18" s="31">
        <v>85000</v>
      </c>
      <c r="Q18" s="31">
        <v>85000</v>
      </c>
      <c r="R18" s="31">
        <v>85000</v>
      </c>
      <c r="S18" s="31">
        <v>70000</v>
      </c>
      <c r="T18" s="31">
        <v>70000</v>
      </c>
      <c r="U18" s="31">
        <v>85000</v>
      </c>
      <c r="V18" s="31">
        <v>85000</v>
      </c>
      <c r="W18" s="31">
        <v>85000</v>
      </c>
      <c r="X18" s="31">
        <v>85000</v>
      </c>
      <c r="Y18" s="31">
        <v>85000</v>
      </c>
      <c r="Z18" s="31">
        <v>140000</v>
      </c>
      <c r="AA18" s="31">
        <v>70000</v>
      </c>
      <c r="AB18" s="31">
        <v>70000</v>
      </c>
      <c r="AC18" s="31">
        <v>85000</v>
      </c>
      <c r="AD18" s="31">
        <v>100000</v>
      </c>
      <c r="AE18" s="31">
        <v>100000</v>
      </c>
      <c r="AF18" s="31">
        <v>140000</v>
      </c>
      <c r="AG18" s="31">
        <v>140000</v>
      </c>
      <c r="AH18" s="31">
        <v>140000</v>
      </c>
      <c r="AI18" s="31">
        <v>70000</v>
      </c>
      <c r="AJ18" s="31">
        <v>85000</v>
      </c>
      <c r="AK18" s="31">
        <v>85000</v>
      </c>
      <c r="AL18" s="31">
        <v>100000</v>
      </c>
      <c r="AM18" s="31">
        <v>140000</v>
      </c>
      <c r="AN18" s="31">
        <v>140000</v>
      </c>
      <c r="AO18" s="31">
        <v>140000</v>
      </c>
      <c r="AP18" s="31">
        <v>140000</v>
      </c>
      <c r="AQ18" s="31">
        <v>70000</v>
      </c>
      <c r="AR18" s="31">
        <v>85000</v>
      </c>
      <c r="AS18" s="31">
        <v>85000</v>
      </c>
      <c r="AT18" s="31">
        <v>140000</v>
      </c>
      <c r="AU18" s="31">
        <v>140000</v>
      </c>
      <c r="AV18" s="31">
        <v>140000</v>
      </c>
      <c r="AW18" s="31">
        <v>140000</v>
      </c>
      <c r="AX18" s="31">
        <v>180000</v>
      </c>
      <c r="AY18" s="31">
        <v>70000</v>
      </c>
      <c r="AZ18" s="31">
        <v>85000</v>
      </c>
      <c r="BA18" s="31">
        <v>85000</v>
      </c>
      <c r="BB18" s="31">
        <v>140000</v>
      </c>
      <c r="BC18" s="31">
        <v>140000</v>
      </c>
      <c r="BD18" s="31">
        <v>140000</v>
      </c>
      <c r="BE18" s="31">
        <v>180000</v>
      </c>
      <c r="BF18" s="31">
        <v>180000</v>
      </c>
      <c r="BG18" s="31">
        <v>85000</v>
      </c>
      <c r="BH18" s="31">
        <v>85000</v>
      </c>
      <c r="BI18" s="31">
        <v>140000</v>
      </c>
      <c r="BJ18" s="31">
        <v>140000</v>
      </c>
      <c r="BK18" s="31">
        <v>140000</v>
      </c>
      <c r="BL18" s="31">
        <v>180000</v>
      </c>
      <c r="BM18" s="31">
        <v>180000</v>
      </c>
      <c r="BN18" s="31">
        <v>180000</v>
      </c>
    </row>
    <row r="19" spans="1:66" ht="15.75" customHeight="1">
      <c r="A19" s="21">
        <v>1000</v>
      </c>
      <c r="B19" s="25"/>
      <c r="C19" s="32">
        <v>75000</v>
      </c>
      <c r="D19" s="32">
        <v>75000</v>
      </c>
      <c r="E19" s="32">
        <v>75000</v>
      </c>
      <c r="F19" s="32">
        <v>75000</v>
      </c>
      <c r="G19" s="32">
        <v>75000</v>
      </c>
      <c r="H19" s="32">
        <v>75000</v>
      </c>
      <c r="I19" s="32">
        <v>75000</v>
      </c>
      <c r="J19" s="32">
        <v>95000</v>
      </c>
      <c r="K19" s="32">
        <v>75000</v>
      </c>
      <c r="L19" s="32">
        <v>75000</v>
      </c>
      <c r="M19" s="32">
        <v>75000</v>
      </c>
      <c r="N19" s="32">
        <v>75000</v>
      </c>
      <c r="O19" s="32">
        <v>95000</v>
      </c>
      <c r="P19" s="32">
        <v>95000</v>
      </c>
      <c r="Q19" s="32">
        <v>95000</v>
      </c>
      <c r="R19" s="32">
        <v>95000</v>
      </c>
      <c r="S19" s="32">
        <v>75000</v>
      </c>
      <c r="T19" s="32">
        <v>75000</v>
      </c>
      <c r="U19" s="32">
        <v>95000</v>
      </c>
      <c r="V19" s="32">
        <v>95000</v>
      </c>
      <c r="W19" s="32">
        <v>95000</v>
      </c>
      <c r="X19" s="32">
        <v>95000</v>
      </c>
      <c r="Y19" s="32">
        <v>95000</v>
      </c>
      <c r="Z19" s="32">
        <v>160000</v>
      </c>
      <c r="AA19" s="32">
        <v>75000</v>
      </c>
      <c r="AB19" s="32">
        <v>75000</v>
      </c>
      <c r="AC19" s="32">
        <v>95000</v>
      </c>
      <c r="AD19" s="32">
        <v>120000</v>
      </c>
      <c r="AE19" s="32">
        <v>120000</v>
      </c>
      <c r="AF19" s="32">
        <v>160000</v>
      </c>
      <c r="AG19" s="32">
        <v>160000</v>
      </c>
      <c r="AH19" s="32">
        <v>160000</v>
      </c>
      <c r="AI19" s="32">
        <v>75000</v>
      </c>
      <c r="AJ19" s="32">
        <v>95000</v>
      </c>
      <c r="AK19" s="32">
        <v>95000</v>
      </c>
      <c r="AL19" s="32">
        <v>120000</v>
      </c>
      <c r="AM19" s="32">
        <v>160000</v>
      </c>
      <c r="AN19" s="32">
        <v>160000</v>
      </c>
      <c r="AO19" s="32">
        <v>160000</v>
      </c>
      <c r="AP19" s="32">
        <v>160000</v>
      </c>
      <c r="AQ19" s="32">
        <v>75000</v>
      </c>
      <c r="AR19" s="32">
        <v>95000</v>
      </c>
      <c r="AS19" s="32">
        <v>95000</v>
      </c>
      <c r="AT19" s="32">
        <v>160000</v>
      </c>
      <c r="AU19" s="32">
        <v>160000</v>
      </c>
      <c r="AV19" s="32">
        <v>160000</v>
      </c>
      <c r="AW19" s="32">
        <v>160000</v>
      </c>
      <c r="AX19" s="32">
        <v>200000</v>
      </c>
      <c r="AY19" s="32">
        <v>75000</v>
      </c>
      <c r="AZ19" s="32">
        <v>95000</v>
      </c>
      <c r="BA19" s="32">
        <v>95000</v>
      </c>
      <c r="BB19" s="32">
        <v>160000</v>
      </c>
      <c r="BC19" s="32">
        <v>160000</v>
      </c>
      <c r="BD19" s="32">
        <v>160000</v>
      </c>
      <c r="BE19" s="32">
        <v>200000</v>
      </c>
      <c r="BF19" s="32">
        <v>200000</v>
      </c>
      <c r="BG19" s="32">
        <v>95000</v>
      </c>
      <c r="BH19" s="32">
        <v>95000</v>
      </c>
      <c r="BI19" s="32">
        <v>160000</v>
      </c>
      <c r="BJ19" s="32">
        <v>160000</v>
      </c>
      <c r="BK19" s="32">
        <v>160000</v>
      </c>
      <c r="BL19" s="32">
        <v>200000</v>
      </c>
      <c r="BM19" s="32">
        <v>200000</v>
      </c>
      <c r="BN19" s="32">
        <v>200000</v>
      </c>
    </row>
    <row r="20" spans="1:66" ht="15.75" customHeight="1">
      <c r="A20" s="21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  <c r="AR20" s="25"/>
      <c r="AS20" s="25"/>
      <c r="AT20" s="25"/>
      <c r="AU20" s="25"/>
      <c r="AV20" s="25"/>
      <c r="AW20" s="25"/>
      <c r="AX20" s="25"/>
      <c r="AY20" s="25"/>
      <c r="AZ20" s="25"/>
      <c r="BA20" s="25"/>
      <c r="BB20" s="25"/>
      <c r="BC20" s="25"/>
      <c r="BD20" s="25"/>
      <c r="BE20" s="25"/>
      <c r="BF20" s="25"/>
      <c r="BG20" s="25"/>
      <c r="BH20" s="25"/>
      <c r="BI20" s="25"/>
      <c r="BJ20" s="25"/>
      <c r="BK20" s="25"/>
      <c r="BL20" s="25"/>
      <c r="BM20" s="25"/>
      <c r="BN20" s="25"/>
    </row>
    <row r="21" spans="1:66" ht="15.75" customHeight="1">
      <c r="A21" s="21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  <c r="AM21" s="25"/>
      <c r="AN21" s="25"/>
      <c r="AO21" s="25"/>
      <c r="AP21" s="25"/>
      <c r="AQ21" s="25"/>
      <c r="AR21" s="25"/>
      <c r="AS21" s="25"/>
      <c r="AT21" s="25"/>
      <c r="AU21" s="25"/>
      <c r="AV21" s="25"/>
      <c r="AW21" s="25"/>
      <c r="AX21" s="25"/>
      <c r="AY21" s="25"/>
      <c r="AZ21" s="25"/>
      <c r="BA21" s="25"/>
      <c r="BB21" s="25"/>
      <c r="BC21" s="25"/>
      <c r="BD21" s="25"/>
      <c r="BE21" s="25"/>
      <c r="BF21" s="25"/>
      <c r="BG21" s="25"/>
      <c r="BH21" s="25"/>
      <c r="BI21" s="25"/>
      <c r="BJ21" s="25"/>
      <c r="BK21" s="25"/>
      <c r="BL21" s="25"/>
      <c r="BM21" s="25"/>
      <c r="BN21" s="25"/>
    </row>
    <row r="22" spans="1:66" ht="15.75" customHeight="1">
      <c r="A22" s="184" t="s">
        <v>185</v>
      </c>
      <c r="B22" s="182"/>
      <c r="C22" s="182"/>
      <c r="D22" s="182"/>
      <c r="E22" s="182"/>
      <c r="F22" s="182"/>
      <c r="G22" s="182"/>
      <c r="H22" s="182"/>
      <c r="I22" s="182"/>
      <c r="J22" s="182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  <c r="AQ22" s="25"/>
      <c r="AR22" s="25"/>
      <c r="AS22" s="25"/>
      <c r="AT22" s="25"/>
      <c r="AU22" s="25"/>
      <c r="AV22" s="25"/>
      <c r="AW22" s="25"/>
      <c r="AX22" s="25"/>
      <c r="AY22" s="25"/>
      <c r="AZ22" s="25"/>
      <c r="BA22" s="25"/>
      <c r="BB22" s="25"/>
      <c r="BC22" s="25"/>
      <c r="BD22" s="25"/>
      <c r="BE22" s="25"/>
      <c r="BF22" s="25"/>
      <c r="BG22" s="25"/>
      <c r="BH22" s="25"/>
      <c r="BI22" s="25"/>
      <c r="BJ22" s="25"/>
      <c r="BK22" s="25"/>
      <c r="BL22" s="25"/>
      <c r="BM22" s="25"/>
      <c r="BN22" s="25"/>
    </row>
    <row r="23" spans="1:66" ht="15.75" customHeight="1">
      <c r="A23" s="25"/>
      <c r="B23" s="21">
        <v>1</v>
      </c>
      <c r="C23" s="21" t="s">
        <v>121</v>
      </c>
      <c r="D23" s="21" t="s">
        <v>122</v>
      </c>
      <c r="E23" s="21" t="s">
        <v>123</v>
      </c>
      <c r="F23" s="21" t="s">
        <v>124</v>
      </c>
      <c r="G23" s="21" t="s">
        <v>125</v>
      </c>
      <c r="H23" s="21" t="s">
        <v>126</v>
      </c>
      <c r="I23" s="21" t="s">
        <v>127</v>
      </c>
      <c r="J23" s="21" t="s">
        <v>128</v>
      </c>
      <c r="K23" s="21" t="s">
        <v>129</v>
      </c>
      <c r="L23" s="21" t="s">
        <v>130</v>
      </c>
      <c r="M23" s="21" t="s">
        <v>131</v>
      </c>
      <c r="N23" s="21" t="s">
        <v>132</v>
      </c>
      <c r="O23" s="21" t="s">
        <v>133</v>
      </c>
      <c r="P23" s="21" t="s">
        <v>134</v>
      </c>
      <c r="Q23" s="21" t="s">
        <v>135</v>
      </c>
      <c r="R23" s="21" t="s">
        <v>136</v>
      </c>
      <c r="S23" s="21" t="s">
        <v>137</v>
      </c>
      <c r="T23" s="21" t="s">
        <v>138</v>
      </c>
      <c r="U23" s="21" t="s">
        <v>139</v>
      </c>
      <c r="V23" s="21" t="s">
        <v>140</v>
      </c>
      <c r="W23" s="21" t="s">
        <v>141</v>
      </c>
      <c r="X23" s="21" t="s">
        <v>142</v>
      </c>
      <c r="Y23" s="21" t="s">
        <v>143</v>
      </c>
      <c r="Z23" s="21" t="s">
        <v>144</v>
      </c>
      <c r="AA23" s="21" t="s">
        <v>145</v>
      </c>
      <c r="AB23" s="21" t="s">
        <v>146</v>
      </c>
      <c r="AC23" s="21" t="s">
        <v>147</v>
      </c>
      <c r="AD23" s="21" t="s">
        <v>148</v>
      </c>
      <c r="AE23" s="21" t="s">
        <v>149</v>
      </c>
      <c r="AF23" s="21" t="s">
        <v>150</v>
      </c>
      <c r="AG23" s="21" t="s">
        <v>151</v>
      </c>
      <c r="AH23" s="21" t="s">
        <v>152</v>
      </c>
      <c r="AI23" s="21" t="s">
        <v>153</v>
      </c>
      <c r="AJ23" s="21" t="s">
        <v>154</v>
      </c>
      <c r="AK23" s="21" t="s">
        <v>155</v>
      </c>
      <c r="AL23" s="21" t="s">
        <v>156</v>
      </c>
      <c r="AM23" s="21" t="s">
        <v>157</v>
      </c>
      <c r="AN23" s="21" t="s">
        <v>158</v>
      </c>
      <c r="AO23" s="21" t="s">
        <v>159</v>
      </c>
      <c r="AP23" s="21" t="s">
        <v>160</v>
      </c>
      <c r="AQ23" s="21" t="s">
        <v>161</v>
      </c>
      <c r="AR23" s="21" t="s">
        <v>162</v>
      </c>
      <c r="AS23" s="21" t="s">
        <v>163</v>
      </c>
      <c r="AT23" s="21" t="s">
        <v>164</v>
      </c>
      <c r="AU23" s="21" t="s">
        <v>165</v>
      </c>
      <c r="AV23" s="21" t="s">
        <v>166</v>
      </c>
      <c r="AW23" s="21" t="s">
        <v>167</v>
      </c>
      <c r="AX23" s="21" t="s">
        <v>168</v>
      </c>
      <c r="AY23" s="21" t="s">
        <v>169</v>
      </c>
      <c r="AZ23" s="21" t="s">
        <v>170</v>
      </c>
      <c r="BA23" s="21" t="s">
        <v>171</v>
      </c>
      <c r="BB23" s="21" t="s">
        <v>172</v>
      </c>
      <c r="BC23" s="21" t="s">
        <v>173</v>
      </c>
      <c r="BD23" s="21" t="s">
        <v>174</v>
      </c>
      <c r="BE23" s="21" t="s">
        <v>175</v>
      </c>
      <c r="BF23" s="21" t="s">
        <v>176</v>
      </c>
      <c r="BG23" s="21" t="s">
        <v>177</v>
      </c>
      <c r="BH23" s="21" t="s">
        <v>178</v>
      </c>
      <c r="BI23" s="21" t="s">
        <v>179</v>
      </c>
      <c r="BJ23" s="21" t="s">
        <v>180</v>
      </c>
      <c r="BK23" s="21" t="s">
        <v>181</v>
      </c>
      <c r="BL23" s="21" t="s">
        <v>182</v>
      </c>
      <c r="BM23" s="21" t="s">
        <v>183</v>
      </c>
      <c r="BN23" s="21" t="s">
        <v>184</v>
      </c>
    </row>
    <row r="24" spans="1:66" ht="15.75" customHeight="1">
      <c r="A24" s="27">
        <v>1</v>
      </c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  <c r="AK24" s="28"/>
      <c r="AL24" s="28"/>
      <c r="AM24" s="28"/>
      <c r="AN24" s="28"/>
      <c r="AO24" s="28"/>
      <c r="AP24" s="28"/>
      <c r="AQ24" s="28"/>
      <c r="AR24" s="28"/>
      <c r="AS24" s="28"/>
      <c r="AT24" s="28"/>
      <c r="AU24" s="28"/>
      <c r="AV24" s="28"/>
      <c r="AW24" s="28"/>
      <c r="AX24" s="28"/>
      <c r="AY24" s="28"/>
      <c r="AZ24" s="28"/>
      <c r="BA24" s="28"/>
      <c r="BB24" s="28"/>
      <c r="BC24" s="28"/>
      <c r="BD24" s="28"/>
      <c r="BE24" s="28"/>
      <c r="BF24" s="28"/>
      <c r="BG24" s="28"/>
      <c r="BH24" s="28"/>
      <c r="BI24" s="28"/>
      <c r="BJ24" s="28"/>
      <c r="BK24" s="28"/>
      <c r="BL24" s="28"/>
      <c r="BM24" s="28"/>
      <c r="BN24" s="28"/>
    </row>
    <row r="25" spans="1:66" ht="15.75" customHeight="1">
      <c r="A25" s="21">
        <v>10</v>
      </c>
      <c r="B25" s="25"/>
      <c r="C25" s="29">
        <v>65000</v>
      </c>
      <c r="D25" s="29">
        <v>65000</v>
      </c>
      <c r="E25" s="29">
        <v>65000</v>
      </c>
      <c r="F25" s="29">
        <v>65000</v>
      </c>
      <c r="G25" s="29">
        <v>65000</v>
      </c>
      <c r="H25" s="29">
        <v>65000</v>
      </c>
      <c r="I25" s="29">
        <v>65000</v>
      </c>
      <c r="J25" s="29">
        <v>80000</v>
      </c>
      <c r="K25" s="29">
        <v>65000</v>
      </c>
      <c r="L25" s="29">
        <v>65000</v>
      </c>
      <c r="M25" s="29">
        <v>65000</v>
      </c>
      <c r="N25" s="29">
        <v>65000</v>
      </c>
      <c r="O25" s="29">
        <v>80000</v>
      </c>
      <c r="P25" s="29">
        <v>80000</v>
      </c>
      <c r="Q25" s="29">
        <v>80000</v>
      </c>
      <c r="R25" s="29">
        <v>80000</v>
      </c>
      <c r="S25" s="29">
        <v>65000</v>
      </c>
      <c r="T25" s="29">
        <v>65000</v>
      </c>
      <c r="U25" s="29">
        <v>80000</v>
      </c>
      <c r="V25" s="29">
        <v>80000</v>
      </c>
      <c r="W25" s="29">
        <v>80000</v>
      </c>
      <c r="X25" s="29">
        <v>80000</v>
      </c>
      <c r="Y25" s="29">
        <v>80000</v>
      </c>
      <c r="Z25" s="29">
        <v>100000</v>
      </c>
      <c r="AA25" s="29">
        <v>65000</v>
      </c>
      <c r="AB25" s="29">
        <v>65000</v>
      </c>
      <c r="AC25" s="29">
        <v>80000</v>
      </c>
      <c r="AD25" s="29">
        <v>80000</v>
      </c>
      <c r="AE25" s="29">
        <v>80000</v>
      </c>
      <c r="AF25" s="29">
        <v>100000</v>
      </c>
      <c r="AG25" s="29">
        <v>100000</v>
      </c>
      <c r="AH25" s="29">
        <v>100000</v>
      </c>
      <c r="AI25" s="29">
        <v>65000</v>
      </c>
      <c r="AJ25" s="29">
        <v>80000</v>
      </c>
      <c r="AK25" s="29">
        <v>80000</v>
      </c>
      <c r="AL25" s="29">
        <v>80000</v>
      </c>
      <c r="AM25" s="29">
        <v>100000</v>
      </c>
      <c r="AN25" s="29">
        <v>100000</v>
      </c>
      <c r="AO25" s="29">
        <v>100000</v>
      </c>
      <c r="AP25" s="29">
        <v>100000</v>
      </c>
      <c r="AQ25" s="29">
        <v>65000</v>
      </c>
      <c r="AR25" s="29">
        <v>80000</v>
      </c>
      <c r="AS25" s="29">
        <v>80000</v>
      </c>
      <c r="AT25" s="29">
        <v>100000</v>
      </c>
      <c r="AU25" s="29">
        <v>100000</v>
      </c>
      <c r="AV25" s="29">
        <v>100000</v>
      </c>
      <c r="AW25" s="29">
        <v>100000</v>
      </c>
      <c r="AX25" s="29">
        <v>150000</v>
      </c>
      <c r="AY25" s="29">
        <v>65000</v>
      </c>
      <c r="AZ25" s="29">
        <v>80000</v>
      </c>
      <c r="BA25" s="29">
        <v>80000</v>
      </c>
      <c r="BB25" s="29">
        <v>100000</v>
      </c>
      <c r="BC25" s="29">
        <v>100000</v>
      </c>
      <c r="BD25" s="29">
        <v>100000</v>
      </c>
      <c r="BE25" s="29">
        <v>150000</v>
      </c>
      <c r="BF25" s="29">
        <v>150000</v>
      </c>
      <c r="BG25" s="29">
        <v>80000</v>
      </c>
      <c r="BH25" s="29">
        <v>80000</v>
      </c>
      <c r="BI25" s="29">
        <v>100000</v>
      </c>
      <c r="BJ25" s="29">
        <v>100000</v>
      </c>
      <c r="BK25" s="29">
        <v>100000</v>
      </c>
      <c r="BL25" s="29">
        <v>150000</v>
      </c>
      <c r="BM25" s="29">
        <v>150000</v>
      </c>
      <c r="BN25" s="29">
        <v>150000</v>
      </c>
    </row>
    <row r="26" spans="1:66" ht="15.75" customHeight="1">
      <c r="A26" s="21">
        <v>200</v>
      </c>
      <c r="B26" s="25"/>
      <c r="C26" s="30">
        <v>80000</v>
      </c>
      <c r="D26" s="30">
        <v>80000</v>
      </c>
      <c r="E26" s="30">
        <v>80000</v>
      </c>
      <c r="F26" s="30">
        <v>80000</v>
      </c>
      <c r="G26" s="30">
        <v>80000</v>
      </c>
      <c r="H26" s="30">
        <v>80000</v>
      </c>
      <c r="I26" s="30">
        <v>80000</v>
      </c>
      <c r="J26" s="30">
        <v>103000</v>
      </c>
      <c r="K26" s="30">
        <v>80000</v>
      </c>
      <c r="L26" s="30">
        <v>80000</v>
      </c>
      <c r="M26" s="30">
        <v>80000</v>
      </c>
      <c r="N26" s="30">
        <v>80000</v>
      </c>
      <c r="O26" s="30">
        <v>103000</v>
      </c>
      <c r="P26" s="30">
        <v>103000</v>
      </c>
      <c r="Q26" s="30">
        <v>103000</v>
      </c>
      <c r="R26" s="30">
        <v>103000</v>
      </c>
      <c r="S26" s="30">
        <v>80000</v>
      </c>
      <c r="T26" s="30">
        <v>80000</v>
      </c>
      <c r="U26" s="30">
        <v>103000</v>
      </c>
      <c r="V26" s="30">
        <v>103000</v>
      </c>
      <c r="W26" s="30">
        <v>103000</v>
      </c>
      <c r="X26" s="30">
        <v>103000</v>
      </c>
      <c r="Y26" s="30">
        <v>103000</v>
      </c>
      <c r="Z26" s="30">
        <v>150000</v>
      </c>
      <c r="AA26" s="30">
        <v>80000</v>
      </c>
      <c r="AB26" s="30">
        <v>80000</v>
      </c>
      <c r="AC26" s="30">
        <v>103000</v>
      </c>
      <c r="AD26" s="30">
        <v>113000</v>
      </c>
      <c r="AE26" s="30">
        <v>113000</v>
      </c>
      <c r="AF26" s="30">
        <v>150000</v>
      </c>
      <c r="AG26" s="30">
        <v>150000</v>
      </c>
      <c r="AH26" s="30">
        <v>150000</v>
      </c>
      <c r="AI26" s="30">
        <v>80000</v>
      </c>
      <c r="AJ26" s="30">
        <v>103000</v>
      </c>
      <c r="AK26" s="30">
        <v>103000</v>
      </c>
      <c r="AL26" s="30">
        <v>113000</v>
      </c>
      <c r="AM26" s="30">
        <v>150000</v>
      </c>
      <c r="AN26" s="30">
        <v>150000</v>
      </c>
      <c r="AO26" s="30">
        <v>150000</v>
      </c>
      <c r="AP26" s="30">
        <v>150000</v>
      </c>
      <c r="AQ26" s="30">
        <v>80000</v>
      </c>
      <c r="AR26" s="30">
        <v>103000</v>
      </c>
      <c r="AS26" s="30">
        <v>103000</v>
      </c>
      <c r="AT26" s="30">
        <v>150000</v>
      </c>
      <c r="AU26" s="30">
        <v>150000</v>
      </c>
      <c r="AV26" s="30">
        <v>150000</v>
      </c>
      <c r="AW26" s="30">
        <v>150000</v>
      </c>
      <c r="AX26" s="30">
        <v>200000</v>
      </c>
      <c r="AY26" s="30">
        <v>80000</v>
      </c>
      <c r="AZ26" s="30">
        <v>103000</v>
      </c>
      <c r="BA26" s="30">
        <v>103000</v>
      </c>
      <c r="BB26" s="30">
        <v>150000</v>
      </c>
      <c r="BC26" s="30">
        <v>150000</v>
      </c>
      <c r="BD26" s="30">
        <v>150000</v>
      </c>
      <c r="BE26" s="30">
        <v>200000</v>
      </c>
      <c r="BF26" s="30">
        <v>200000</v>
      </c>
      <c r="BG26" s="30">
        <v>103000</v>
      </c>
      <c r="BH26" s="30">
        <v>103000</v>
      </c>
      <c r="BI26" s="30">
        <v>150000</v>
      </c>
      <c r="BJ26" s="30">
        <v>150000</v>
      </c>
      <c r="BK26" s="30">
        <v>150000</v>
      </c>
      <c r="BL26" s="30">
        <v>200000</v>
      </c>
      <c r="BM26" s="30">
        <v>200000</v>
      </c>
      <c r="BN26" s="30">
        <v>200000</v>
      </c>
    </row>
    <row r="27" spans="1:66" ht="15.75" customHeight="1">
      <c r="A27" s="21">
        <v>500</v>
      </c>
      <c r="B27" s="25"/>
      <c r="C27" s="31">
        <v>88000</v>
      </c>
      <c r="D27" s="31">
        <v>88000</v>
      </c>
      <c r="E27" s="31">
        <v>88000</v>
      </c>
      <c r="F27" s="31">
        <v>88000</v>
      </c>
      <c r="G27" s="31">
        <v>88000</v>
      </c>
      <c r="H27" s="31">
        <v>88000</v>
      </c>
      <c r="I27" s="31">
        <v>88000</v>
      </c>
      <c r="J27" s="31">
        <v>110000</v>
      </c>
      <c r="K27" s="31">
        <v>88000</v>
      </c>
      <c r="L27" s="31">
        <v>88000</v>
      </c>
      <c r="M27" s="31">
        <v>88000</v>
      </c>
      <c r="N27" s="31">
        <v>88000</v>
      </c>
      <c r="O27" s="31">
        <v>110000</v>
      </c>
      <c r="P27" s="31">
        <v>110000</v>
      </c>
      <c r="Q27" s="31">
        <v>110000</v>
      </c>
      <c r="R27" s="31">
        <v>110000</v>
      </c>
      <c r="S27" s="31">
        <v>88000</v>
      </c>
      <c r="T27" s="31">
        <v>88000</v>
      </c>
      <c r="U27" s="31">
        <v>110000</v>
      </c>
      <c r="V27" s="31">
        <v>110000</v>
      </c>
      <c r="W27" s="31">
        <v>110000</v>
      </c>
      <c r="X27" s="31">
        <v>110000</v>
      </c>
      <c r="Y27" s="31">
        <v>110000</v>
      </c>
      <c r="Z27" s="31">
        <v>175000</v>
      </c>
      <c r="AA27" s="31">
        <v>88000</v>
      </c>
      <c r="AB27" s="31">
        <v>88000</v>
      </c>
      <c r="AC27" s="31">
        <v>110000</v>
      </c>
      <c r="AD27" s="31">
        <v>125000</v>
      </c>
      <c r="AE27" s="31">
        <v>125000</v>
      </c>
      <c r="AF27" s="31">
        <v>175000</v>
      </c>
      <c r="AG27" s="31">
        <v>175000</v>
      </c>
      <c r="AH27" s="31">
        <v>175000</v>
      </c>
      <c r="AI27" s="31">
        <v>88000</v>
      </c>
      <c r="AJ27" s="31">
        <v>110000</v>
      </c>
      <c r="AK27" s="31">
        <v>110000</v>
      </c>
      <c r="AL27" s="31">
        <v>125000</v>
      </c>
      <c r="AM27" s="31">
        <v>175000</v>
      </c>
      <c r="AN27" s="31">
        <v>175000</v>
      </c>
      <c r="AO27" s="31">
        <v>175000</v>
      </c>
      <c r="AP27" s="31">
        <v>175000</v>
      </c>
      <c r="AQ27" s="31">
        <v>88000</v>
      </c>
      <c r="AR27" s="31">
        <v>110000</v>
      </c>
      <c r="AS27" s="31">
        <v>110000</v>
      </c>
      <c r="AT27" s="31">
        <v>175000</v>
      </c>
      <c r="AU27" s="31">
        <v>175000</v>
      </c>
      <c r="AV27" s="31">
        <v>175000</v>
      </c>
      <c r="AW27" s="31">
        <v>175000</v>
      </c>
      <c r="AX27" s="31">
        <v>225000</v>
      </c>
      <c r="AY27" s="31">
        <v>88000</v>
      </c>
      <c r="AZ27" s="31">
        <v>110000</v>
      </c>
      <c r="BA27" s="31">
        <v>110000</v>
      </c>
      <c r="BB27" s="31">
        <v>175000</v>
      </c>
      <c r="BC27" s="31">
        <v>175000</v>
      </c>
      <c r="BD27" s="31">
        <v>175000</v>
      </c>
      <c r="BE27" s="31">
        <v>225000</v>
      </c>
      <c r="BF27" s="31">
        <v>225000</v>
      </c>
      <c r="BG27" s="31">
        <v>110000</v>
      </c>
      <c r="BH27" s="31">
        <v>110000</v>
      </c>
      <c r="BI27" s="31">
        <v>175000</v>
      </c>
      <c r="BJ27" s="31">
        <v>175000</v>
      </c>
      <c r="BK27" s="31">
        <v>175000</v>
      </c>
      <c r="BL27" s="31">
        <v>225000</v>
      </c>
      <c r="BM27" s="31">
        <v>225000</v>
      </c>
      <c r="BN27" s="31">
        <v>225000</v>
      </c>
    </row>
    <row r="28" spans="1:66" ht="15.75" customHeight="1">
      <c r="A28" s="21">
        <v>1000</v>
      </c>
      <c r="B28" s="25"/>
      <c r="C28" s="32">
        <v>95000</v>
      </c>
      <c r="D28" s="32">
        <v>95000</v>
      </c>
      <c r="E28" s="32">
        <v>95000</v>
      </c>
      <c r="F28" s="32">
        <v>95000</v>
      </c>
      <c r="G28" s="32">
        <v>95000</v>
      </c>
      <c r="H28" s="32">
        <v>95000</v>
      </c>
      <c r="I28" s="32">
        <v>95000</v>
      </c>
      <c r="J28" s="32">
        <v>125000</v>
      </c>
      <c r="K28" s="32">
        <v>95000</v>
      </c>
      <c r="L28" s="32">
        <v>95000</v>
      </c>
      <c r="M28" s="32">
        <v>95000</v>
      </c>
      <c r="N28" s="32">
        <v>95000</v>
      </c>
      <c r="O28" s="32">
        <v>95000</v>
      </c>
      <c r="P28" s="32">
        <v>125000</v>
      </c>
      <c r="Q28" s="32">
        <v>125000</v>
      </c>
      <c r="R28" s="32">
        <v>125000</v>
      </c>
      <c r="S28" s="32">
        <v>95000</v>
      </c>
      <c r="T28" s="32">
        <v>95000</v>
      </c>
      <c r="U28" s="32">
        <v>125000</v>
      </c>
      <c r="V28" s="32">
        <v>125000</v>
      </c>
      <c r="W28" s="32">
        <v>125000</v>
      </c>
      <c r="X28" s="32">
        <v>125000</v>
      </c>
      <c r="Y28" s="32">
        <v>125000</v>
      </c>
      <c r="Z28" s="32">
        <v>200000</v>
      </c>
      <c r="AA28" s="32">
        <v>95000</v>
      </c>
      <c r="AB28" s="32">
        <v>95000</v>
      </c>
      <c r="AC28" s="32">
        <v>125000</v>
      </c>
      <c r="AD28" s="32">
        <v>150000</v>
      </c>
      <c r="AE28" s="32">
        <v>150000</v>
      </c>
      <c r="AF28" s="32">
        <v>200000</v>
      </c>
      <c r="AG28" s="32">
        <v>200000</v>
      </c>
      <c r="AH28" s="32">
        <v>200000</v>
      </c>
      <c r="AI28" s="32">
        <v>95000</v>
      </c>
      <c r="AJ28" s="32">
        <v>95000</v>
      </c>
      <c r="AK28" s="32">
        <v>125000</v>
      </c>
      <c r="AL28" s="32">
        <v>150000</v>
      </c>
      <c r="AM28" s="32">
        <v>200000</v>
      </c>
      <c r="AN28" s="32">
        <v>200000</v>
      </c>
      <c r="AO28" s="32">
        <v>200000</v>
      </c>
      <c r="AP28" s="32">
        <v>200000</v>
      </c>
      <c r="AQ28" s="32">
        <v>95000</v>
      </c>
      <c r="AR28" s="32">
        <v>125000</v>
      </c>
      <c r="AS28" s="32">
        <v>125000</v>
      </c>
      <c r="AT28" s="32">
        <v>200000</v>
      </c>
      <c r="AU28" s="32">
        <v>200000</v>
      </c>
      <c r="AV28" s="32">
        <v>200000</v>
      </c>
      <c r="AW28" s="32">
        <v>200000</v>
      </c>
      <c r="AX28" s="32">
        <v>250000</v>
      </c>
      <c r="AY28" s="32">
        <v>95000</v>
      </c>
      <c r="AZ28" s="32">
        <v>125000</v>
      </c>
      <c r="BA28" s="32">
        <v>125000</v>
      </c>
      <c r="BB28" s="32">
        <v>200000</v>
      </c>
      <c r="BC28" s="32">
        <v>200000</v>
      </c>
      <c r="BD28" s="32">
        <v>200000</v>
      </c>
      <c r="BE28" s="32">
        <v>250000</v>
      </c>
      <c r="BF28" s="32">
        <v>250000</v>
      </c>
      <c r="BG28" s="32">
        <v>125000</v>
      </c>
      <c r="BH28" s="32">
        <v>125000</v>
      </c>
      <c r="BI28" s="32">
        <v>200000</v>
      </c>
      <c r="BJ28" s="32">
        <v>200000</v>
      </c>
      <c r="BK28" s="32">
        <v>200000</v>
      </c>
      <c r="BL28" s="32">
        <v>250000</v>
      </c>
      <c r="BM28" s="32">
        <v>250000</v>
      </c>
      <c r="BN28" s="32">
        <v>250000</v>
      </c>
    </row>
    <row r="29" spans="1:66" ht="15.75" customHeight="1">
      <c r="A29" s="27"/>
      <c r="B29" s="28"/>
      <c r="C29" s="27"/>
      <c r="D29" s="28"/>
      <c r="E29" s="27"/>
      <c r="F29" s="28"/>
      <c r="G29" s="27"/>
      <c r="H29" s="28"/>
      <c r="I29" s="27"/>
      <c r="J29" s="28"/>
      <c r="K29" s="27"/>
      <c r="L29" s="28"/>
      <c r="M29" s="27"/>
      <c r="N29" s="28"/>
      <c r="O29" s="27"/>
      <c r="P29" s="28"/>
      <c r="Q29" s="27"/>
      <c r="R29" s="28"/>
      <c r="S29" s="33"/>
      <c r="T29" s="33"/>
      <c r="U29" s="33"/>
      <c r="V29" s="33"/>
    </row>
    <row r="30" spans="1:66" ht="15.75" customHeight="1">
      <c r="A30" s="27"/>
      <c r="B30" s="28"/>
      <c r="C30" s="27"/>
      <c r="D30" s="28"/>
      <c r="E30" s="27"/>
      <c r="F30" s="28"/>
      <c r="G30" s="27"/>
      <c r="H30" s="28"/>
      <c r="I30" s="27"/>
      <c r="J30" s="28"/>
      <c r="K30" s="27"/>
      <c r="L30" s="28"/>
      <c r="M30" s="27"/>
      <c r="N30" s="28"/>
      <c r="O30" s="27"/>
      <c r="P30" s="28"/>
      <c r="Q30" s="27"/>
      <c r="R30" s="28"/>
      <c r="S30" s="33"/>
      <c r="T30" s="33"/>
      <c r="U30" s="33"/>
      <c r="V30" s="33"/>
    </row>
    <row r="31" spans="1:66" ht="15.75" customHeight="1">
      <c r="A31" s="27"/>
      <c r="B31" s="28"/>
      <c r="C31" s="27"/>
      <c r="D31" s="28"/>
      <c r="E31" s="27"/>
      <c r="F31" s="28"/>
      <c r="G31" s="27"/>
      <c r="H31" s="28"/>
      <c r="I31" s="27"/>
      <c r="J31" s="28"/>
      <c r="K31" s="27"/>
      <c r="L31" s="28"/>
      <c r="M31" s="27"/>
      <c r="N31" s="28"/>
      <c r="O31" s="27"/>
      <c r="P31" s="28"/>
      <c r="Q31" s="27"/>
      <c r="R31" s="28"/>
      <c r="S31" s="33"/>
      <c r="T31" s="33"/>
      <c r="U31" s="33"/>
      <c r="V31" s="33"/>
    </row>
    <row r="32" spans="1:66" ht="15.75" customHeight="1">
      <c r="A32" s="27"/>
      <c r="B32" s="28"/>
      <c r="C32" s="27"/>
      <c r="D32" s="28"/>
      <c r="E32" s="27"/>
      <c r="F32" s="28"/>
      <c r="G32" s="27"/>
      <c r="H32" s="28"/>
      <c r="I32" s="27"/>
      <c r="J32" s="28"/>
      <c r="K32" s="27"/>
      <c r="L32" s="28"/>
      <c r="M32" s="27"/>
      <c r="N32" s="28"/>
      <c r="O32" s="27"/>
      <c r="P32" s="28"/>
      <c r="Q32" s="27"/>
      <c r="R32" s="28"/>
      <c r="S32" s="33"/>
      <c r="T32" s="33"/>
      <c r="U32" s="33"/>
      <c r="V32" s="33"/>
    </row>
    <row r="33" spans="1:22" ht="15.75" customHeight="1">
      <c r="A33" s="27"/>
      <c r="B33" s="28"/>
      <c r="C33" s="27"/>
      <c r="D33" s="28"/>
      <c r="E33" s="27"/>
      <c r="F33" s="28"/>
      <c r="G33" s="27"/>
      <c r="H33" s="28"/>
      <c r="I33" s="27"/>
      <c r="J33" s="28"/>
      <c r="K33" s="27"/>
      <c r="L33" s="28"/>
      <c r="M33" s="27"/>
      <c r="N33" s="28"/>
      <c r="O33" s="27"/>
      <c r="P33" s="28"/>
      <c r="Q33" s="27"/>
      <c r="R33" s="28"/>
      <c r="S33" s="33"/>
      <c r="T33" s="33"/>
      <c r="U33" s="33"/>
      <c r="V33" s="33"/>
    </row>
    <row r="34" spans="1:22" ht="15.75" customHeight="1">
      <c r="A34" s="27"/>
      <c r="B34" s="28"/>
      <c r="C34" s="27"/>
      <c r="D34" s="28"/>
      <c r="E34" s="27"/>
      <c r="F34" s="28"/>
      <c r="G34" s="27"/>
      <c r="H34" s="28"/>
      <c r="I34" s="27"/>
      <c r="J34" s="28"/>
      <c r="K34" s="27"/>
      <c r="L34" s="28"/>
      <c r="M34" s="27"/>
      <c r="N34" s="28"/>
      <c r="O34" s="27"/>
      <c r="P34" s="28"/>
      <c r="Q34" s="27"/>
      <c r="R34" s="28"/>
      <c r="S34" s="33"/>
      <c r="T34" s="33"/>
      <c r="U34" s="33"/>
      <c r="V34" s="33"/>
    </row>
    <row r="35" spans="1:22" ht="15.75" customHeight="1">
      <c r="A35" s="27"/>
      <c r="B35" s="28"/>
      <c r="C35" s="27"/>
      <c r="D35" s="28"/>
      <c r="E35" s="27"/>
      <c r="F35" s="28"/>
      <c r="G35" s="27"/>
      <c r="H35" s="28"/>
      <c r="I35" s="27"/>
      <c r="J35" s="28"/>
      <c r="K35" s="27"/>
      <c r="L35" s="28"/>
      <c r="M35" s="27"/>
      <c r="N35" s="28"/>
      <c r="O35" s="27"/>
      <c r="P35" s="28"/>
      <c r="Q35" s="27"/>
      <c r="R35" s="28"/>
      <c r="S35" s="33"/>
      <c r="T35" s="33"/>
      <c r="U35" s="33"/>
      <c r="V35" s="33"/>
    </row>
    <row r="36" spans="1:22" ht="15.75" customHeight="1">
      <c r="A36" s="27"/>
      <c r="B36" s="28"/>
      <c r="C36" s="27"/>
      <c r="D36" s="28"/>
      <c r="E36" s="27"/>
      <c r="F36" s="28"/>
      <c r="G36" s="27"/>
      <c r="H36" s="28"/>
      <c r="I36" s="27"/>
      <c r="J36" s="28"/>
      <c r="K36" s="27"/>
      <c r="L36" s="28"/>
      <c r="M36" s="27"/>
      <c r="N36" s="28"/>
      <c r="O36" s="27"/>
      <c r="P36" s="28"/>
      <c r="Q36" s="27"/>
      <c r="R36" s="28"/>
      <c r="S36" s="33"/>
      <c r="T36" s="33"/>
      <c r="U36" s="33"/>
      <c r="V36" s="33"/>
    </row>
    <row r="37" spans="1:22" ht="15.75" customHeight="1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33"/>
      <c r="T37" s="33"/>
      <c r="U37" s="33"/>
      <c r="V37" s="33"/>
    </row>
    <row r="38" spans="1:22" ht="15.75" customHeight="1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33"/>
      <c r="T38" s="33"/>
      <c r="U38" s="33"/>
      <c r="V38" s="33"/>
    </row>
    <row r="39" spans="1:22" ht="15.75" customHeight="1">
      <c r="A39" s="185"/>
      <c r="B39" s="182"/>
      <c r="C39" s="182"/>
      <c r="D39" s="182"/>
      <c r="E39" s="182"/>
      <c r="F39" s="182"/>
      <c r="G39" s="182"/>
      <c r="H39" s="182"/>
      <c r="I39" s="182"/>
      <c r="J39" s="182"/>
      <c r="K39" s="182"/>
      <c r="L39" s="182"/>
      <c r="M39" s="182"/>
      <c r="N39" s="182"/>
      <c r="O39" s="182"/>
      <c r="P39" s="182"/>
      <c r="Q39" s="182"/>
      <c r="R39" s="28"/>
      <c r="S39" s="33"/>
      <c r="T39" s="33"/>
      <c r="U39" s="33"/>
      <c r="V39" s="33"/>
    </row>
    <row r="40" spans="1:22" ht="15.75" customHeight="1">
      <c r="A40" s="28"/>
      <c r="B40" s="186"/>
      <c r="C40" s="182"/>
      <c r="D40" s="182"/>
      <c r="E40" s="182"/>
      <c r="F40" s="182"/>
      <c r="G40" s="182"/>
      <c r="H40" s="182"/>
      <c r="I40" s="182"/>
      <c r="J40" s="182"/>
      <c r="K40" s="182"/>
      <c r="L40" s="182"/>
      <c r="M40" s="182"/>
      <c r="N40" s="182"/>
      <c r="O40" s="182"/>
      <c r="P40" s="182"/>
      <c r="Q40" s="182"/>
      <c r="R40" s="28"/>
      <c r="S40" s="33"/>
      <c r="T40" s="33"/>
      <c r="U40" s="33"/>
      <c r="V40" s="33"/>
    </row>
    <row r="41" spans="1:22" ht="15.75" customHeight="1">
      <c r="A41" s="28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8"/>
      <c r="S41" s="33"/>
      <c r="T41" s="33"/>
      <c r="U41" s="33"/>
      <c r="V41" s="33"/>
    </row>
    <row r="42" spans="1:22" ht="15.75" customHeight="1">
      <c r="A42" s="27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33"/>
      <c r="T42" s="33"/>
      <c r="U42" s="33"/>
      <c r="V42" s="33"/>
    </row>
    <row r="43" spans="1:22" ht="15.75" customHeight="1">
      <c r="A43" s="27"/>
      <c r="B43" s="28"/>
      <c r="C43" s="27"/>
      <c r="D43" s="28"/>
      <c r="E43" s="27"/>
      <c r="F43" s="28"/>
      <c r="G43" s="27"/>
      <c r="H43" s="28"/>
      <c r="I43" s="27"/>
      <c r="J43" s="28"/>
      <c r="K43" s="27"/>
      <c r="L43" s="28"/>
      <c r="M43" s="27"/>
      <c r="N43" s="28"/>
      <c r="O43" s="27"/>
      <c r="P43" s="28"/>
      <c r="Q43" s="27"/>
      <c r="R43" s="28"/>
      <c r="S43" s="33"/>
      <c r="T43" s="33"/>
      <c r="U43" s="33"/>
      <c r="V43" s="33"/>
    </row>
    <row r="44" spans="1:22" ht="15.75" customHeight="1">
      <c r="A44" s="27"/>
      <c r="B44" s="28"/>
      <c r="C44" s="27"/>
      <c r="D44" s="28"/>
      <c r="E44" s="27"/>
      <c r="F44" s="28"/>
      <c r="G44" s="27"/>
      <c r="H44" s="28"/>
      <c r="I44" s="27"/>
      <c r="J44" s="28"/>
      <c r="K44" s="27"/>
      <c r="L44" s="28"/>
      <c r="M44" s="27"/>
      <c r="N44" s="28"/>
      <c r="O44" s="27"/>
      <c r="P44" s="28"/>
      <c r="Q44" s="27"/>
      <c r="R44" s="28"/>
      <c r="S44" s="33"/>
      <c r="T44" s="33"/>
      <c r="U44" s="33"/>
      <c r="V44" s="33"/>
    </row>
    <row r="45" spans="1:22" ht="15.75" customHeight="1">
      <c r="A45" s="27"/>
      <c r="B45" s="28"/>
      <c r="C45" s="27"/>
      <c r="D45" s="28"/>
      <c r="E45" s="27"/>
      <c r="F45" s="28"/>
      <c r="G45" s="27"/>
      <c r="H45" s="28"/>
      <c r="I45" s="27"/>
      <c r="J45" s="28"/>
      <c r="K45" s="27"/>
      <c r="L45" s="28"/>
      <c r="M45" s="27"/>
      <c r="N45" s="28"/>
      <c r="O45" s="27"/>
      <c r="P45" s="28"/>
      <c r="Q45" s="27"/>
      <c r="R45" s="28"/>
      <c r="S45" s="33"/>
      <c r="T45" s="33"/>
      <c r="U45" s="33"/>
      <c r="V45" s="33"/>
    </row>
    <row r="46" spans="1:22" ht="15.75" customHeight="1">
      <c r="A46" s="27"/>
      <c r="B46" s="28"/>
      <c r="C46" s="27"/>
      <c r="D46" s="28"/>
      <c r="E46" s="27"/>
      <c r="F46" s="28"/>
      <c r="G46" s="27"/>
      <c r="H46" s="28"/>
      <c r="I46" s="27"/>
      <c r="J46" s="28"/>
      <c r="K46" s="27"/>
      <c r="L46" s="28"/>
      <c r="M46" s="27"/>
      <c r="N46" s="28"/>
      <c r="O46" s="27"/>
      <c r="P46" s="28"/>
      <c r="Q46" s="27"/>
      <c r="R46" s="28"/>
      <c r="S46" s="33"/>
      <c r="T46" s="33"/>
      <c r="U46" s="33"/>
      <c r="V46" s="33"/>
    </row>
    <row r="47" spans="1:22" ht="15.75" customHeight="1">
      <c r="A47" s="27"/>
      <c r="B47" s="28"/>
      <c r="C47" s="27"/>
      <c r="D47" s="28"/>
      <c r="E47" s="27"/>
      <c r="F47" s="28"/>
      <c r="G47" s="27"/>
      <c r="H47" s="28"/>
      <c r="I47" s="27"/>
      <c r="J47" s="28"/>
      <c r="K47" s="27"/>
      <c r="L47" s="28"/>
      <c r="M47" s="27"/>
      <c r="N47" s="28"/>
      <c r="O47" s="27"/>
      <c r="P47" s="28"/>
      <c r="Q47" s="27"/>
      <c r="R47" s="28"/>
      <c r="S47" s="33"/>
      <c r="T47" s="33"/>
      <c r="U47" s="33"/>
      <c r="V47" s="33"/>
    </row>
    <row r="48" spans="1:22" ht="15.75" customHeight="1">
      <c r="A48" s="27"/>
      <c r="B48" s="28"/>
      <c r="C48" s="27"/>
      <c r="D48" s="28"/>
      <c r="E48" s="27"/>
      <c r="F48" s="28"/>
      <c r="G48" s="27"/>
      <c r="H48" s="28"/>
      <c r="I48" s="27"/>
      <c r="J48" s="28"/>
      <c r="K48" s="27"/>
      <c r="L48" s="28"/>
      <c r="M48" s="27"/>
      <c r="N48" s="28"/>
      <c r="O48" s="27"/>
      <c r="P48" s="28"/>
      <c r="Q48" s="27"/>
      <c r="R48" s="28"/>
      <c r="S48" s="33"/>
      <c r="T48" s="33"/>
      <c r="U48" s="33"/>
      <c r="V48" s="33"/>
    </row>
    <row r="49" spans="1:22" ht="15.75" customHeight="1">
      <c r="A49" s="27"/>
      <c r="B49" s="28"/>
      <c r="C49" s="27"/>
      <c r="D49" s="28"/>
      <c r="E49" s="27"/>
      <c r="F49" s="28"/>
      <c r="G49" s="27"/>
      <c r="H49" s="28"/>
      <c r="I49" s="27"/>
      <c r="J49" s="28"/>
      <c r="K49" s="27"/>
      <c r="L49" s="28"/>
      <c r="M49" s="27"/>
      <c r="N49" s="28"/>
      <c r="O49" s="27"/>
      <c r="P49" s="28"/>
      <c r="Q49" s="27"/>
      <c r="R49" s="28"/>
      <c r="S49" s="33"/>
      <c r="T49" s="33"/>
      <c r="U49" s="33"/>
      <c r="V49" s="33"/>
    </row>
    <row r="50" spans="1:22" ht="15.75" customHeight="1">
      <c r="A50" s="27"/>
      <c r="B50" s="28"/>
      <c r="C50" s="27"/>
      <c r="D50" s="28"/>
      <c r="E50" s="27"/>
      <c r="F50" s="28"/>
      <c r="G50" s="27"/>
      <c r="H50" s="28"/>
      <c r="I50" s="27"/>
      <c r="J50" s="28"/>
      <c r="K50" s="27"/>
      <c r="L50" s="28"/>
      <c r="M50" s="27"/>
      <c r="N50" s="28"/>
      <c r="O50" s="27"/>
      <c r="P50" s="28"/>
      <c r="Q50" s="27"/>
      <c r="R50" s="28"/>
      <c r="S50" s="33"/>
      <c r="T50" s="33"/>
      <c r="U50" s="33"/>
      <c r="V50" s="33"/>
    </row>
    <row r="51" spans="1:22" ht="15.75" customHeight="1">
      <c r="A51" s="27"/>
      <c r="B51" s="28"/>
      <c r="C51" s="27"/>
      <c r="D51" s="28"/>
      <c r="E51" s="27"/>
      <c r="F51" s="28"/>
      <c r="G51" s="27"/>
      <c r="H51" s="28"/>
      <c r="I51" s="27"/>
      <c r="J51" s="28"/>
      <c r="K51" s="27"/>
      <c r="L51" s="28"/>
      <c r="M51" s="27"/>
      <c r="N51" s="28"/>
      <c r="O51" s="27"/>
      <c r="P51" s="28"/>
      <c r="Q51" s="27"/>
      <c r="R51" s="28"/>
      <c r="S51" s="33"/>
      <c r="T51" s="33"/>
      <c r="U51" s="33"/>
      <c r="V51" s="33"/>
    </row>
    <row r="52" spans="1:22" ht="15.75" customHeight="1">
      <c r="A52" s="27"/>
      <c r="B52" s="28"/>
      <c r="C52" s="27"/>
      <c r="D52" s="28"/>
      <c r="E52" s="27"/>
      <c r="F52" s="28"/>
      <c r="G52" s="27"/>
      <c r="H52" s="28"/>
      <c r="I52" s="27"/>
      <c r="J52" s="28"/>
      <c r="K52" s="27"/>
      <c r="L52" s="28"/>
      <c r="M52" s="27"/>
      <c r="N52" s="28"/>
      <c r="O52" s="27"/>
      <c r="P52" s="28"/>
      <c r="Q52" s="27"/>
      <c r="R52" s="28"/>
      <c r="S52" s="33"/>
      <c r="T52" s="33"/>
      <c r="U52" s="33"/>
      <c r="V52" s="33"/>
    </row>
    <row r="53" spans="1:22" ht="15.75" customHeight="1">
      <c r="A53" s="27"/>
      <c r="B53" s="28"/>
      <c r="C53" s="27"/>
      <c r="D53" s="28"/>
      <c r="E53" s="27"/>
      <c r="F53" s="28"/>
      <c r="G53" s="27"/>
      <c r="H53" s="28"/>
      <c r="I53" s="27"/>
      <c r="J53" s="28"/>
      <c r="K53" s="27"/>
      <c r="L53" s="28"/>
      <c r="M53" s="27"/>
      <c r="N53" s="28"/>
      <c r="O53" s="27"/>
      <c r="P53" s="28"/>
      <c r="Q53" s="27"/>
      <c r="R53" s="28"/>
      <c r="S53" s="33"/>
      <c r="T53" s="33"/>
      <c r="U53" s="33"/>
      <c r="V53" s="33"/>
    </row>
    <row r="54" spans="1:22" ht="15.75" customHeight="1">
      <c r="A54" s="27"/>
      <c r="B54" s="28"/>
      <c r="C54" s="27"/>
      <c r="D54" s="28"/>
      <c r="E54" s="27"/>
      <c r="F54" s="28"/>
      <c r="G54" s="27"/>
      <c r="H54" s="28"/>
      <c r="I54" s="27"/>
      <c r="J54" s="28"/>
      <c r="K54" s="27"/>
      <c r="L54" s="28"/>
      <c r="M54" s="27"/>
      <c r="N54" s="28"/>
      <c r="O54" s="27"/>
      <c r="P54" s="28"/>
      <c r="Q54" s="27"/>
      <c r="R54" s="28"/>
      <c r="S54" s="33"/>
      <c r="T54" s="33"/>
      <c r="U54" s="33"/>
      <c r="V54" s="33"/>
    </row>
    <row r="55" spans="1:22" ht="15.75" customHeight="1">
      <c r="A55" s="27"/>
      <c r="B55" s="28"/>
      <c r="C55" s="27"/>
      <c r="D55" s="28"/>
      <c r="E55" s="27"/>
      <c r="F55" s="28"/>
      <c r="G55" s="27"/>
      <c r="H55" s="28"/>
      <c r="I55" s="27"/>
      <c r="J55" s="28"/>
      <c r="K55" s="27"/>
      <c r="L55" s="28"/>
      <c r="M55" s="27"/>
      <c r="N55" s="28"/>
      <c r="O55" s="27"/>
      <c r="P55" s="28"/>
      <c r="Q55" s="27"/>
      <c r="R55" s="28"/>
      <c r="S55" s="33"/>
      <c r="T55" s="33"/>
      <c r="U55" s="33"/>
      <c r="V55" s="33"/>
    </row>
    <row r="56" spans="1:22" ht="15.75" customHeight="1">
      <c r="A56" s="27"/>
      <c r="B56" s="28"/>
      <c r="C56" s="27"/>
      <c r="D56" s="28"/>
      <c r="E56" s="27"/>
      <c r="F56" s="28"/>
      <c r="G56" s="27"/>
      <c r="H56" s="28"/>
      <c r="I56" s="27"/>
      <c r="J56" s="28"/>
      <c r="K56" s="27"/>
      <c r="L56" s="28"/>
      <c r="M56" s="27"/>
      <c r="N56" s="28"/>
      <c r="O56" s="27"/>
      <c r="P56" s="28"/>
      <c r="Q56" s="27"/>
      <c r="R56" s="28"/>
      <c r="S56" s="33"/>
      <c r="T56" s="33"/>
      <c r="U56" s="33"/>
      <c r="V56" s="33"/>
    </row>
    <row r="57" spans="1:22" ht="15.75" customHeight="1">
      <c r="A57" s="27"/>
      <c r="B57" s="28"/>
      <c r="C57" s="27"/>
      <c r="D57" s="28"/>
      <c r="E57" s="27"/>
      <c r="F57" s="28"/>
      <c r="G57" s="27"/>
      <c r="H57" s="28"/>
      <c r="I57" s="27"/>
      <c r="J57" s="28"/>
      <c r="K57" s="27"/>
      <c r="L57" s="28"/>
      <c r="M57" s="27"/>
      <c r="N57" s="28"/>
      <c r="O57" s="27"/>
      <c r="P57" s="28"/>
      <c r="Q57" s="27"/>
      <c r="R57" s="28"/>
      <c r="S57" s="33"/>
      <c r="T57" s="33"/>
      <c r="U57" s="33"/>
      <c r="V57" s="33"/>
    </row>
    <row r="58" spans="1:22" ht="15.75" customHeight="1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33"/>
      <c r="T58" s="33"/>
      <c r="U58" s="33"/>
      <c r="V58" s="33"/>
    </row>
    <row r="59" spans="1:22" ht="15.75" customHeight="1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33"/>
      <c r="T59" s="33"/>
      <c r="U59" s="33"/>
      <c r="V59" s="33"/>
    </row>
    <row r="60" spans="1:22" ht="15.75" customHeight="1">
      <c r="A60" s="185"/>
      <c r="B60" s="182"/>
      <c r="C60" s="182"/>
      <c r="D60" s="182"/>
      <c r="E60" s="182"/>
      <c r="F60" s="182"/>
      <c r="G60" s="182"/>
      <c r="H60" s="182"/>
      <c r="I60" s="182"/>
      <c r="J60" s="182"/>
      <c r="K60" s="182"/>
      <c r="L60" s="182"/>
      <c r="M60" s="182"/>
      <c r="N60" s="182"/>
      <c r="O60" s="182"/>
      <c r="P60" s="182"/>
      <c r="Q60" s="182"/>
      <c r="R60" s="28"/>
      <c r="S60" s="33"/>
      <c r="T60" s="33"/>
      <c r="U60" s="33"/>
      <c r="V60" s="33"/>
    </row>
    <row r="61" spans="1:22" ht="15.75" customHeight="1">
      <c r="A61" s="28"/>
      <c r="B61" s="186"/>
      <c r="C61" s="182"/>
      <c r="D61" s="182"/>
      <c r="E61" s="182"/>
      <c r="F61" s="182"/>
      <c r="G61" s="182"/>
      <c r="H61" s="182"/>
      <c r="I61" s="182"/>
      <c r="J61" s="182"/>
      <c r="K61" s="182"/>
      <c r="L61" s="182"/>
      <c r="M61" s="182"/>
      <c r="N61" s="182"/>
      <c r="O61" s="182"/>
      <c r="P61" s="182"/>
      <c r="Q61" s="182"/>
      <c r="R61" s="28"/>
      <c r="S61" s="33"/>
      <c r="T61" s="33"/>
      <c r="U61" s="33"/>
      <c r="V61" s="33"/>
    </row>
    <row r="62" spans="1:22" ht="15.75" customHeight="1">
      <c r="A62" s="28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8"/>
      <c r="S62" s="33"/>
      <c r="T62" s="33"/>
      <c r="U62" s="33"/>
      <c r="V62" s="33"/>
    </row>
    <row r="63" spans="1:22" ht="15.75" customHeight="1">
      <c r="A63" s="27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33"/>
      <c r="T63" s="33"/>
      <c r="U63" s="33"/>
      <c r="V63" s="33"/>
    </row>
    <row r="64" spans="1:22" ht="15.75" customHeight="1">
      <c r="A64" s="27"/>
      <c r="B64" s="28"/>
      <c r="C64" s="27"/>
      <c r="D64" s="28"/>
      <c r="E64" s="27"/>
      <c r="F64" s="28"/>
      <c r="G64" s="27"/>
      <c r="H64" s="28"/>
      <c r="I64" s="27"/>
      <c r="J64" s="28"/>
      <c r="K64" s="27"/>
      <c r="L64" s="28"/>
      <c r="M64" s="27"/>
      <c r="N64" s="28"/>
      <c r="O64" s="27"/>
      <c r="P64" s="28"/>
      <c r="Q64" s="27"/>
      <c r="R64" s="28"/>
      <c r="S64" s="33"/>
      <c r="T64" s="33"/>
      <c r="U64" s="33"/>
      <c r="V64" s="33"/>
    </row>
    <row r="65" spans="1:22" ht="15.75" customHeight="1">
      <c r="A65" s="27"/>
      <c r="B65" s="28"/>
      <c r="C65" s="27"/>
      <c r="D65" s="28"/>
      <c r="E65" s="27"/>
      <c r="F65" s="28"/>
      <c r="G65" s="27"/>
      <c r="H65" s="28"/>
      <c r="I65" s="27"/>
      <c r="J65" s="28"/>
      <c r="K65" s="27"/>
      <c r="L65" s="28"/>
      <c r="M65" s="27"/>
      <c r="N65" s="28"/>
      <c r="O65" s="27"/>
      <c r="P65" s="28"/>
      <c r="Q65" s="27"/>
      <c r="R65" s="28"/>
      <c r="S65" s="33"/>
      <c r="T65" s="33"/>
      <c r="U65" s="33"/>
      <c r="V65" s="33"/>
    </row>
    <row r="66" spans="1:22" ht="15.75" customHeight="1">
      <c r="A66" s="27"/>
      <c r="B66" s="28"/>
      <c r="C66" s="27"/>
      <c r="D66" s="28"/>
      <c r="E66" s="27"/>
      <c r="F66" s="28"/>
      <c r="G66" s="27"/>
      <c r="H66" s="28"/>
      <c r="I66" s="27"/>
      <c r="J66" s="28"/>
      <c r="K66" s="27"/>
      <c r="L66" s="28"/>
      <c r="M66" s="27"/>
      <c r="N66" s="28"/>
      <c r="O66" s="27"/>
      <c r="P66" s="28"/>
      <c r="Q66" s="27"/>
      <c r="R66" s="28"/>
      <c r="S66" s="33"/>
      <c r="T66" s="33"/>
      <c r="U66" s="33"/>
      <c r="V66" s="33"/>
    </row>
    <row r="67" spans="1:22" ht="15.75" customHeight="1">
      <c r="A67" s="27"/>
      <c r="B67" s="28"/>
      <c r="C67" s="27"/>
      <c r="D67" s="28"/>
      <c r="E67" s="27"/>
      <c r="F67" s="28"/>
      <c r="G67" s="27"/>
      <c r="H67" s="28"/>
      <c r="I67" s="27"/>
      <c r="J67" s="28"/>
      <c r="K67" s="27"/>
      <c r="L67" s="28"/>
      <c r="M67" s="27"/>
      <c r="N67" s="28"/>
      <c r="O67" s="27"/>
      <c r="P67" s="28"/>
      <c r="Q67" s="27"/>
      <c r="R67" s="28"/>
      <c r="S67" s="33"/>
      <c r="T67" s="33"/>
      <c r="U67" s="33"/>
      <c r="V67" s="33"/>
    </row>
    <row r="68" spans="1:22" ht="15.75" customHeight="1">
      <c r="A68" s="27"/>
      <c r="B68" s="28"/>
      <c r="C68" s="27"/>
      <c r="D68" s="28"/>
      <c r="E68" s="27"/>
      <c r="F68" s="28"/>
      <c r="G68" s="27"/>
      <c r="H68" s="28"/>
      <c r="I68" s="27"/>
      <c r="J68" s="28"/>
      <c r="K68" s="27"/>
      <c r="L68" s="28"/>
      <c r="M68" s="27"/>
      <c r="N68" s="28"/>
      <c r="O68" s="27"/>
      <c r="P68" s="28"/>
      <c r="Q68" s="27"/>
      <c r="R68" s="28"/>
      <c r="S68" s="33"/>
      <c r="T68" s="33"/>
      <c r="U68" s="33"/>
      <c r="V68" s="33"/>
    </row>
    <row r="69" spans="1:22" ht="15.75" customHeight="1">
      <c r="A69" s="27"/>
      <c r="B69" s="28"/>
      <c r="C69" s="27"/>
      <c r="D69" s="28"/>
      <c r="E69" s="27"/>
      <c r="F69" s="28"/>
      <c r="G69" s="27"/>
      <c r="H69" s="28"/>
      <c r="I69" s="27"/>
      <c r="J69" s="28"/>
      <c r="K69" s="27"/>
      <c r="L69" s="28"/>
      <c r="M69" s="27"/>
      <c r="N69" s="28"/>
      <c r="O69" s="27"/>
      <c r="P69" s="28"/>
      <c r="Q69" s="27"/>
      <c r="R69" s="28"/>
      <c r="S69" s="33"/>
      <c r="T69" s="33"/>
      <c r="U69" s="33"/>
      <c r="V69" s="33"/>
    </row>
    <row r="70" spans="1:22" ht="15.75" customHeight="1">
      <c r="A70" s="27"/>
      <c r="B70" s="28"/>
      <c r="C70" s="27"/>
      <c r="D70" s="28"/>
      <c r="E70" s="27"/>
      <c r="F70" s="28"/>
      <c r="G70" s="27"/>
      <c r="H70" s="28"/>
      <c r="I70" s="27"/>
      <c r="J70" s="28"/>
      <c r="K70" s="27"/>
      <c r="L70" s="28"/>
      <c r="M70" s="27"/>
      <c r="N70" s="28"/>
      <c r="O70" s="27"/>
      <c r="P70" s="28"/>
      <c r="Q70" s="27"/>
      <c r="R70" s="28"/>
      <c r="S70" s="33"/>
      <c r="T70" s="33"/>
      <c r="U70" s="33"/>
      <c r="V70" s="33"/>
    </row>
    <row r="71" spans="1:22" ht="15.75" customHeight="1">
      <c r="A71" s="27"/>
      <c r="B71" s="28"/>
      <c r="C71" s="27"/>
      <c r="D71" s="28"/>
      <c r="E71" s="27"/>
      <c r="F71" s="28"/>
      <c r="G71" s="27"/>
      <c r="H71" s="28"/>
      <c r="I71" s="27"/>
      <c r="J71" s="28"/>
      <c r="K71" s="27"/>
      <c r="L71" s="28"/>
      <c r="M71" s="27"/>
      <c r="N71" s="28"/>
      <c r="O71" s="27"/>
      <c r="P71" s="28"/>
      <c r="Q71" s="27"/>
      <c r="R71" s="28"/>
      <c r="S71" s="33"/>
      <c r="T71" s="33"/>
      <c r="U71" s="33"/>
      <c r="V71" s="33"/>
    </row>
    <row r="72" spans="1:22" ht="15.75" customHeight="1">
      <c r="A72" s="27"/>
      <c r="B72" s="28"/>
      <c r="C72" s="27"/>
      <c r="D72" s="28"/>
      <c r="E72" s="27"/>
      <c r="F72" s="28"/>
      <c r="G72" s="27"/>
      <c r="H72" s="28"/>
      <c r="I72" s="27"/>
      <c r="J72" s="28"/>
      <c r="K72" s="27"/>
      <c r="L72" s="28"/>
      <c r="M72" s="27"/>
      <c r="N72" s="28"/>
      <c r="O72" s="27"/>
      <c r="P72" s="28"/>
      <c r="Q72" s="27"/>
      <c r="R72" s="28"/>
      <c r="S72" s="33"/>
      <c r="T72" s="33"/>
      <c r="U72" s="33"/>
      <c r="V72" s="33"/>
    </row>
    <row r="73" spans="1:22" ht="15.75" customHeight="1">
      <c r="A73" s="27"/>
      <c r="B73" s="28"/>
      <c r="C73" s="27"/>
      <c r="D73" s="28"/>
      <c r="E73" s="27"/>
      <c r="F73" s="28"/>
      <c r="G73" s="27"/>
      <c r="H73" s="28"/>
      <c r="I73" s="27"/>
      <c r="J73" s="28"/>
      <c r="K73" s="27"/>
      <c r="L73" s="28"/>
      <c r="M73" s="27"/>
      <c r="N73" s="28"/>
      <c r="O73" s="27"/>
      <c r="P73" s="28"/>
      <c r="Q73" s="27"/>
      <c r="R73" s="28"/>
      <c r="S73" s="33"/>
      <c r="T73" s="33"/>
      <c r="U73" s="33"/>
      <c r="V73" s="33"/>
    </row>
    <row r="74" spans="1:22" ht="15.75" customHeight="1">
      <c r="A74" s="27"/>
      <c r="B74" s="28"/>
      <c r="C74" s="27"/>
      <c r="D74" s="28"/>
      <c r="E74" s="27"/>
      <c r="F74" s="28"/>
      <c r="G74" s="27"/>
      <c r="H74" s="28"/>
      <c r="I74" s="27"/>
      <c r="J74" s="28"/>
      <c r="K74" s="27"/>
      <c r="L74" s="28"/>
      <c r="M74" s="27"/>
      <c r="N74" s="28"/>
      <c r="O74" s="27"/>
      <c r="P74" s="28"/>
      <c r="Q74" s="27"/>
      <c r="R74" s="28"/>
      <c r="S74" s="33"/>
      <c r="T74" s="33"/>
      <c r="U74" s="33"/>
      <c r="V74" s="33"/>
    </row>
    <row r="75" spans="1:22" ht="15.75" customHeight="1">
      <c r="A75" s="27"/>
      <c r="B75" s="28"/>
      <c r="C75" s="27"/>
      <c r="D75" s="28"/>
      <c r="E75" s="27"/>
      <c r="F75" s="28"/>
      <c r="G75" s="27"/>
      <c r="H75" s="28"/>
      <c r="I75" s="27"/>
      <c r="J75" s="28"/>
      <c r="K75" s="27"/>
      <c r="L75" s="28"/>
      <c r="M75" s="27"/>
      <c r="N75" s="28"/>
      <c r="O75" s="27"/>
      <c r="P75" s="28"/>
      <c r="Q75" s="27"/>
      <c r="R75" s="28"/>
      <c r="S75" s="33"/>
      <c r="T75" s="33"/>
      <c r="U75" s="33"/>
      <c r="V75" s="33"/>
    </row>
    <row r="76" spans="1:22" ht="15.75" customHeight="1">
      <c r="A76" s="27"/>
      <c r="B76" s="28"/>
      <c r="C76" s="27"/>
      <c r="D76" s="28"/>
      <c r="E76" s="27"/>
      <c r="F76" s="28"/>
      <c r="G76" s="27"/>
      <c r="H76" s="28"/>
      <c r="I76" s="27"/>
      <c r="J76" s="28"/>
      <c r="K76" s="27"/>
      <c r="L76" s="28"/>
      <c r="M76" s="27"/>
      <c r="N76" s="28"/>
      <c r="O76" s="27"/>
      <c r="P76" s="28"/>
      <c r="Q76" s="27"/>
      <c r="R76" s="28"/>
      <c r="S76" s="33"/>
      <c r="T76" s="33"/>
      <c r="U76" s="33"/>
      <c r="V76" s="33"/>
    </row>
    <row r="77" spans="1:22" ht="15.75" customHeight="1">
      <c r="A77" s="27"/>
      <c r="B77" s="28"/>
      <c r="C77" s="27"/>
      <c r="D77" s="28"/>
      <c r="E77" s="27"/>
      <c r="F77" s="28"/>
      <c r="G77" s="27"/>
      <c r="H77" s="28"/>
      <c r="I77" s="27"/>
      <c r="J77" s="28"/>
      <c r="K77" s="27"/>
      <c r="L77" s="28"/>
      <c r="M77" s="27"/>
      <c r="N77" s="28"/>
      <c r="O77" s="27"/>
      <c r="P77" s="28"/>
      <c r="Q77" s="27"/>
      <c r="R77" s="28"/>
      <c r="S77" s="33"/>
      <c r="T77" s="33"/>
      <c r="U77" s="33"/>
      <c r="V77" s="33"/>
    </row>
    <row r="78" spans="1:22" ht="15.75" customHeight="1">
      <c r="A78" s="27"/>
      <c r="B78" s="28"/>
      <c r="C78" s="27"/>
      <c r="D78" s="28"/>
      <c r="E78" s="27"/>
      <c r="F78" s="28"/>
      <c r="G78" s="27"/>
      <c r="H78" s="28"/>
      <c r="I78" s="27"/>
      <c r="J78" s="28"/>
      <c r="K78" s="27"/>
      <c r="L78" s="28"/>
      <c r="M78" s="27"/>
      <c r="N78" s="28"/>
      <c r="O78" s="27"/>
      <c r="P78" s="28"/>
      <c r="Q78" s="27"/>
      <c r="R78" s="28"/>
      <c r="S78" s="33"/>
      <c r="T78" s="33"/>
      <c r="U78" s="33"/>
      <c r="V78" s="33"/>
    </row>
    <row r="79" spans="1:22" ht="15.75" customHeight="1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33"/>
      <c r="T79" s="33"/>
      <c r="U79" s="33"/>
      <c r="V79" s="33"/>
    </row>
    <row r="80" spans="1:22" ht="15.75" customHeight="1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33"/>
      <c r="T80" s="33"/>
      <c r="U80" s="33"/>
      <c r="V80" s="33"/>
    </row>
    <row r="81" spans="1:22" ht="15.75" customHeight="1">
      <c r="A81" s="185"/>
      <c r="B81" s="182"/>
      <c r="C81" s="182"/>
      <c r="D81" s="182"/>
      <c r="E81" s="182"/>
      <c r="F81" s="182"/>
      <c r="G81" s="182"/>
      <c r="H81" s="182"/>
      <c r="I81" s="182"/>
      <c r="J81" s="182"/>
      <c r="K81" s="182"/>
      <c r="L81" s="182"/>
      <c r="M81" s="182"/>
      <c r="N81" s="182"/>
      <c r="O81" s="182"/>
      <c r="P81" s="182"/>
      <c r="Q81" s="182"/>
      <c r="R81" s="28"/>
      <c r="S81" s="33"/>
      <c r="T81" s="33"/>
      <c r="U81" s="33"/>
      <c r="V81" s="33"/>
    </row>
    <row r="82" spans="1:22" ht="15.75" customHeight="1">
      <c r="A82" s="28"/>
      <c r="B82" s="186"/>
      <c r="C82" s="182"/>
      <c r="D82" s="182"/>
      <c r="E82" s="182"/>
      <c r="F82" s="182"/>
      <c r="G82" s="182"/>
      <c r="H82" s="182"/>
      <c r="I82" s="182"/>
      <c r="J82" s="182"/>
      <c r="K82" s="182"/>
      <c r="L82" s="182"/>
      <c r="M82" s="182"/>
      <c r="N82" s="182"/>
      <c r="O82" s="182"/>
      <c r="P82" s="182"/>
      <c r="Q82" s="182"/>
      <c r="R82" s="28"/>
      <c r="S82" s="33"/>
      <c r="T82" s="33"/>
      <c r="U82" s="33"/>
      <c r="V82" s="33"/>
    </row>
    <row r="83" spans="1:22" ht="15.75" customHeight="1">
      <c r="A83" s="28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8"/>
      <c r="S83" s="33"/>
      <c r="T83" s="33"/>
      <c r="U83" s="33"/>
      <c r="V83" s="33"/>
    </row>
    <row r="84" spans="1:22" ht="15.75" customHeight="1">
      <c r="A84" s="27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33"/>
      <c r="T84" s="33"/>
      <c r="U84" s="33"/>
      <c r="V84" s="33"/>
    </row>
    <row r="85" spans="1:22" ht="15.75" customHeight="1">
      <c r="A85" s="27"/>
      <c r="B85" s="28"/>
      <c r="C85" s="27"/>
      <c r="D85" s="28"/>
      <c r="E85" s="27"/>
      <c r="F85" s="28"/>
      <c r="G85" s="27"/>
      <c r="H85" s="28"/>
      <c r="I85" s="27"/>
      <c r="J85" s="28"/>
      <c r="K85" s="27"/>
      <c r="L85" s="28"/>
      <c r="M85" s="27"/>
      <c r="N85" s="28"/>
      <c r="O85" s="27"/>
      <c r="P85" s="28"/>
      <c r="Q85" s="27"/>
      <c r="R85" s="28"/>
      <c r="S85" s="33"/>
      <c r="T85" s="33"/>
      <c r="U85" s="33"/>
      <c r="V85" s="33"/>
    </row>
    <row r="86" spans="1:22" ht="15.75" customHeight="1">
      <c r="A86" s="27"/>
      <c r="B86" s="28"/>
      <c r="C86" s="27"/>
      <c r="D86" s="28"/>
      <c r="E86" s="27"/>
      <c r="F86" s="28"/>
      <c r="G86" s="27"/>
      <c r="H86" s="28"/>
      <c r="I86" s="27"/>
      <c r="J86" s="28"/>
      <c r="K86" s="27"/>
      <c r="L86" s="28"/>
      <c r="M86" s="27"/>
      <c r="N86" s="28"/>
      <c r="O86" s="27"/>
      <c r="P86" s="28"/>
      <c r="Q86" s="27"/>
      <c r="R86" s="28"/>
      <c r="S86" s="33"/>
      <c r="T86" s="33"/>
      <c r="U86" s="33"/>
      <c r="V86" s="33"/>
    </row>
    <row r="87" spans="1:22" ht="15.75" customHeight="1">
      <c r="A87" s="27"/>
      <c r="B87" s="28"/>
      <c r="C87" s="27"/>
      <c r="D87" s="28"/>
      <c r="E87" s="27"/>
      <c r="F87" s="28"/>
      <c r="G87" s="27"/>
      <c r="H87" s="28"/>
      <c r="I87" s="27"/>
      <c r="J87" s="28"/>
      <c r="K87" s="27"/>
      <c r="L87" s="28"/>
      <c r="M87" s="27"/>
      <c r="N87" s="28"/>
      <c r="O87" s="27"/>
      <c r="P87" s="28"/>
      <c r="Q87" s="27"/>
      <c r="R87" s="28"/>
      <c r="S87" s="33"/>
      <c r="T87" s="33"/>
      <c r="U87" s="33"/>
      <c r="V87" s="33"/>
    </row>
    <row r="88" spans="1:22" ht="15.75" customHeight="1">
      <c r="A88" s="27"/>
      <c r="B88" s="28"/>
      <c r="C88" s="27"/>
      <c r="D88" s="28"/>
      <c r="E88" s="27"/>
      <c r="F88" s="28"/>
      <c r="G88" s="27"/>
      <c r="H88" s="28"/>
      <c r="I88" s="27"/>
      <c r="J88" s="28"/>
      <c r="K88" s="27"/>
      <c r="L88" s="28"/>
      <c r="M88" s="27"/>
      <c r="N88" s="28"/>
      <c r="O88" s="27"/>
      <c r="P88" s="28"/>
      <c r="Q88" s="27"/>
      <c r="R88" s="28"/>
      <c r="S88" s="33"/>
      <c r="T88" s="33"/>
      <c r="U88" s="33"/>
      <c r="V88" s="33"/>
    </row>
    <row r="89" spans="1:22" ht="15.75" customHeight="1">
      <c r="A89" s="27"/>
      <c r="B89" s="28"/>
      <c r="C89" s="27"/>
      <c r="D89" s="28"/>
      <c r="E89" s="27"/>
      <c r="F89" s="28"/>
      <c r="G89" s="27"/>
      <c r="H89" s="28"/>
      <c r="I89" s="27"/>
      <c r="J89" s="28"/>
      <c r="K89" s="27"/>
      <c r="L89" s="28"/>
      <c r="M89" s="27"/>
      <c r="N89" s="28"/>
      <c r="O89" s="27"/>
      <c r="P89" s="28"/>
      <c r="Q89" s="27"/>
      <c r="R89" s="28"/>
      <c r="S89" s="33"/>
      <c r="T89" s="33"/>
      <c r="U89" s="33"/>
      <c r="V89" s="33"/>
    </row>
    <row r="90" spans="1:22" ht="15.75" customHeight="1">
      <c r="A90" s="27"/>
      <c r="B90" s="28"/>
      <c r="C90" s="27"/>
      <c r="D90" s="28"/>
      <c r="E90" s="27"/>
      <c r="F90" s="28"/>
      <c r="G90" s="27"/>
      <c r="H90" s="28"/>
      <c r="I90" s="27"/>
      <c r="J90" s="28"/>
      <c r="K90" s="27"/>
      <c r="L90" s="28"/>
      <c r="M90" s="27"/>
      <c r="N90" s="28"/>
      <c r="O90" s="27"/>
      <c r="P90" s="28"/>
      <c r="Q90" s="27"/>
      <c r="R90" s="28"/>
      <c r="S90" s="33"/>
      <c r="T90" s="33"/>
      <c r="U90" s="33"/>
      <c r="V90" s="33"/>
    </row>
    <row r="91" spans="1:22" ht="15.75" customHeight="1">
      <c r="A91" s="27"/>
      <c r="B91" s="28"/>
      <c r="C91" s="27"/>
      <c r="D91" s="28"/>
      <c r="E91" s="27"/>
      <c r="F91" s="28"/>
      <c r="G91" s="27"/>
      <c r="H91" s="28"/>
      <c r="I91" s="27"/>
      <c r="J91" s="28"/>
      <c r="K91" s="27"/>
      <c r="L91" s="28"/>
      <c r="M91" s="27"/>
      <c r="N91" s="28"/>
      <c r="O91" s="27"/>
      <c r="P91" s="28"/>
      <c r="Q91" s="27"/>
      <c r="R91" s="28"/>
      <c r="S91" s="33"/>
      <c r="T91" s="33"/>
      <c r="U91" s="33"/>
      <c r="V91" s="33"/>
    </row>
    <row r="92" spans="1:22" ht="15.75" customHeight="1">
      <c r="A92" s="27"/>
      <c r="B92" s="28"/>
      <c r="C92" s="27"/>
      <c r="D92" s="28"/>
      <c r="E92" s="27"/>
      <c r="F92" s="28"/>
      <c r="G92" s="27"/>
      <c r="H92" s="28"/>
      <c r="I92" s="27"/>
      <c r="J92" s="28"/>
      <c r="K92" s="27"/>
      <c r="L92" s="28"/>
      <c r="M92" s="27"/>
      <c r="N92" s="28"/>
      <c r="O92" s="27"/>
      <c r="P92" s="28"/>
      <c r="Q92" s="27"/>
      <c r="R92" s="28"/>
      <c r="S92" s="33"/>
      <c r="T92" s="33"/>
      <c r="U92" s="33"/>
      <c r="V92" s="33"/>
    </row>
    <row r="93" spans="1:22" ht="15.75" customHeight="1">
      <c r="A93" s="27"/>
      <c r="B93" s="28"/>
      <c r="C93" s="27"/>
      <c r="D93" s="28"/>
      <c r="E93" s="27"/>
      <c r="F93" s="28"/>
      <c r="G93" s="27"/>
      <c r="H93" s="28"/>
      <c r="I93" s="27"/>
      <c r="J93" s="28"/>
      <c r="K93" s="27"/>
      <c r="L93" s="28"/>
      <c r="M93" s="27"/>
      <c r="N93" s="28"/>
      <c r="O93" s="27"/>
      <c r="P93" s="28"/>
      <c r="Q93" s="27"/>
      <c r="R93" s="28"/>
      <c r="S93" s="33"/>
      <c r="T93" s="33"/>
      <c r="U93" s="33"/>
      <c r="V93" s="33"/>
    </row>
    <row r="94" spans="1:22" ht="15.75" customHeight="1">
      <c r="A94" s="27"/>
      <c r="B94" s="28"/>
      <c r="C94" s="27"/>
      <c r="D94" s="28"/>
      <c r="E94" s="27"/>
      <c r="F94" s="28"/>
      <c r="G94" s="27"/>
      <c r="H94" s="28"/>
      <c r="I94" s="27"/>
      <c r="J94" s="28"/>
      <c r="K94" s="27"/>
      <c r="L94" s="28"/>
      <c r="M94" s="27"/>
      <c r="N94" s="28"/>
      <c r="O94" s="27"/>
      <c r="P94" s="28"/>
      <c r="Q94" s="27"/>
      <c r="R94" s="28"/>
      <c r="S94" s="33"/>
      <c r="T94" s="33"/>
      <c r="U94" s="33"/>
      <c r="V94" s="33"/>
    </row>
    <row r="95" spans="1:22" ht="15.75" customHeight="1">
      <c r="A95" s="27"/>
      <c r="B95" s="28"/>
      <c r="C95" s="27"/>
      <c r="D95" s="28"/>
      <c r="E95" s="27"/>
      <c r="F95" s="28"/>
      <c r="G95" s="27"/>
      <c r="H95" s="28"/>
      <c r="I95" s="27"/>
      <c r="J95" s="28"/>
      <c r="K95" s="27"/>
      <c r="L95" s="28"/>
      <c r="M95" s="27"/>
      <c r="N95" s="28"/>
      <c r="O95" s="27"/>
      <c r="P95" s="28"/>
      <c r="Q95" s="27"/>
      <c r="R95" s="28"/>
      <c r="S95" s="33"/>
      <c r="T95" s="33"/>
      <c r="U95" s="33"/>
      <c r="V95" s="33"/>
    </row>
    <row r="96" spans="1:22" ht="15.75" customHeight="1">
      <c r="A96" s="27"/>
      <c r="B96" s="28"/>
      <c r="C96" s="27"/>
      <c r="D96" s="28"/>
      <c r="E96" s="27"/>
      <c r="F96" s="28"/>
      <c r="G96" s="27"/>
      <c r="H96" s="28"/>
      <c r="I96" s="27"/>
      <c r="J96" s="28"/>
      <c r="K96" s="27"/>
      <c r="L96" s="28"/>
      <c r="M96" s="27"/>
      <c r="N96" s="28"/>
      <c r="O96" s="27"/>
      <c r="P96" s="28"/>
      <c r="Q96" s="27"/>
      <c r="R96" s="28"/>
      <c r="S96" s="33"/>
      <c r="T96" s="33"/>
      <c r="U96" s="33"/>
      <c r="V96" s="33"/>
    </row>
    <row r="97" spans="1:22" ht="15.75" customHeight="1">
      <c r="A97" s="27"/>
      <c r="B97" s="28"/>
      <c r="C97" s="27"/>
      <c r="D97" s="28"/>
      <c r="E97" s="27"/>
      <c r="F97" s="28"/>
      <c r="G97" s="27"/>
      <c r="H97" s="28"/>
      <c r="I97" s="27"/>
      <c r="J97" s="28"/>
      <c r="K97" s="27"/>
      <c r="L97" s="28"/>
      <c r="M97" s="27"/>
      <c r="N97" s="28"/>
      <c r="O97" s="27"/>
      <c r="P97" s="28"/>
      <c r="Q97" s="27"/>
      <c r="R97" s="28"/>
      <c r="S97" s="33"/>
      <c r="T97" s="33"/>
      <c r="U97" s="33"/>
      <c r="V97" s="33"/>
    </row>
    <row r="98" spans="1:22" ht="15.75" customHeight="1">
      <c r="A98" s="27"/>
      <c r="B98" s="28"/>
      <c r="C98" s="27"/>
      <c r="D98" s="28"/>
      <c r="E98" s="27"/>
      <c r="F98" s="28"/>
      <c r="G98" s="27"/>
      <c r="H98" s="28"/>
      <c r="I98" s="27"/>
      <c r="J98" s="28"/>
      <c r="K98" s="27"/>
      <c r="L98" s="28"/>
      <c r="M98" s="27"/>
      <c r="N98" s="28"/>
      <c r="O98" s="27"/>
      <c r="P98" s="28"/>
      <c r="Q98" s="27"/>
      <c r="R98" s="28"/>
      <c r="S98" s="33"/>
      <c r="T98" s="33"/>
      <c r="U98" s="33"/>
      <c r="V98" s="33"/>
    </row>
    <row r="99" spans="1:22" ht="15.75" customHeight="1">
      <c r="A99" s="27"/>
      <c r="B99" s="28"/>
      <c r="C99" s="27"/>
      <c r="D99" s="28"/>
      <c r="E99" s="27"/>
      <c r="F99" s="28"/>
      <c r="G99" s="27"/>
      <c r="H99" s="28"/>
      <c r="I99" s="27"/>
      <c r="J99" s="28"/>
      <c r="K99" s="27"/>
      <c r="L99" s="28"/>
      <c r="M99" s="27"/>
      <c r="N99" s="28"/>
      <c r="O99" s="27"/>
      <c r="P99" s="28"/>
      <c r="Q99" s="27"/>
      <c r="R99" s="28"/>
      <c r="S99" s="33"/>
      <c r="T99" s="33"/>
      <c r="U99" s="33"/>
      <c r="V99" s="33"/>
    </row>
    <row r="100" spans="1:22" ht="15.75" customHeight="1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33"/>
      <c r="T100" s="33"/>
      <c r="U100" s="33"/>
      <c r="V100" s="33"/>
    </row>
    <row r="101" spans="1:22" ht="15.75" customHeight="1">
      <c r="A101" s="185"/>
      <c r="B101" s="182"/>
      <c r="C101" s="182"/>
      <c r="D101" s="182"/>
      <c r="E101" s="182"/>
      <c r="F101" s="182"/>
      <c r="G101" s="182"/>
      <c r="H101" s="182"/>
      <c r="I101" s="182"/>
      <c r="J101" s="182"/>
      <c r="K101" s="182"/>
      <c r="L101" s="182"/>
      <c r="M101" s="182"/>
      <c r="N101" s="182"/>
      <c r="O101" s="182"/>
      <c r="P101" s="182"/>
      <c r="Q101" s="182"/>
      <c r="R101" s="28"/>
      <c r="S101" s="33"/>
      <c r="T101" s="33"/>
      <c r="U101" s="33"/>
      <c r="V101" s="33"/>
    </row>
    <row r="102" spans="1:22" ht="15.75" customHeight="1">
      <c r="A102" s="28"/>
      <c r="B102" s="186"/>
      <c r="C102" s="182"/>
      <c r="D102" s="182"/>
      <c r="E102" s="182"/>
      <c r="F102" s="182"/>
      <c r="G102" s="182"/>
      <c r="H102" s="182"/>
      <c r="I102" s="182"/>
      <c r="J102" s="182"/>
      <c r="K102" s="182"/>
      <c r="L102" s="182"/>
      <c r="M102" s="182"/>
      <c r="N102" s="182"/>
      <c r="O102" s="182"/>
      <c r="P102" s="182"/>
      <c r="Q102" s="182"/>
      <c r="R102" s="28"/>
      <c r="S102" s="33"/>
      <c r="T102" s="33"/>
      <c r="U102" s="33"/>
      <c r="V102" s="33"/>
    </row>
    <row r="103" spans="1:22" ht="15.75" customHeight="1">
      <c r="A103" s="28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8"/>
      <c r="S103" s="33"/>
      <c r="T103" s="33"/>
      <c r="U103" s="33"/>
      <c r="V103" s="33"/>
    </row>
    <row r="104" spans="1:22" ht="15.75" customHeight="1">
      <c r="A104" s="27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33"/>
      <c r="T104" s="33"/>
      <c r="U104" s="33"/>
      <c r="V104" s="33"/>
    </row>
    <row r="105" spans="1:22" ht="15.75" customHeight="1">
      <c r="A105" s="27"/>
      <c r="B105" s="28"/>
      <c r="C105" s="34"/>
      <c r="D105" s="28"/>
      <c r="E105" s="34"/>
      <c r="F105" s="28"/>
      <c r="G105" s="34"/>
      <c r="H105" s="28"/>
      <c r="I105" s="34"/>
      <c r="J105" s="28"/>
      <c r="K105" s="34"/>
      <c r="L105" s="28"/>
      <c r="M105" s="34"/>
      <c r="N105" s="28"/>
      <c r="O105" s="34"/>
      <c r="P105" s="28"/>
      <c r="Q105" s="34"/>
      <c r="R105" s="28"/>
      <c r="S105" s="33"/>
      <c r="T105" s="33"/>
      <c r="U105" s="33"/>
      <c r="V105" s="33"/>
    </row>
    <row r="106" spans="1:22" ht="15.75" customHeight="1">
      <c r="A106" s="27"/>
      <c r="B106" s="28"/>
      <c r="C106" s="34"/>
      <c r="D106" s="28"/>
      <c r="E106" s="34"/>
      <c r="F106" s="28"/>
      <c r="G106" s="34"/>
      <c r="H106" s="28"/>
      <c r="I106" s="34"/>
      <c r="J106" s="28"/>
      <c r="K106" s="34"/>
      <c r="L106" s="28"/>
      <c r="M106" s="34"/>
      <c r="N106" s="28"/>
      <c r="O106" s="34"/>
      <c r="P106" s="28"/>
      <c r="Q106" s="34"/>
      <c r="R106" s="28"/>
      <c r="S106" s="33"/>
      <c r="T106" s="33"/>
      <c r="U106" s="33"/>
      <c r="V106" s="33"/>
    </row>
    <row r="107" spans="1:22" ht="15.75" customHeight="1">
      <c r="A107" s="27"/>
      <c r="B107" s="28"/>
      <c r="C107" s="34"/>
      <c r="D107" s="28"/>
      <c r="E107" s="34"/>
      <c r="F107" s="28"/>
      <c r="G107" s="34"/>
      <c r="H107" s="28"/>
      <c r="I107" s="34"/>
      <c r="J107" s="28"/>
      <c r="K107" s="34"/>
      <c r="L107" s="28"/>
      <c r="M107" s="34"/>
      <c r="N107" s="28"/>
      <c r="O107" s="34"/>
      <c r="P107" s="28"/>
      <c r="Q107" s="34"/>
      <c r="R107" s="28"/>
      <c r="S107" s="33"/>
      <c r="T107" s="33"/>
      <c r="U107" s="33"/>
      <c r="V107" s="33"/>
    </row>
    <row r="108" spans="1:22" ht="15.75" customHeight="1">
      <c r="A108" s="27"/>
      <c r="B108" s="28"/>
      <c r="C108" s="34"/>
      <c r="D108" s="28"/>
      <c r="E108" s="34"/>
      <c r="F108" s="28"/>
      <c r="G108" s="34"/>
      <c r="H108" s="28"/>
      <c r="I108" s="34"/>
      <c r="J108" s="28"/>
      <c r="K108" s="34"/>
      <c r="L108" s="28"/>
      <c r="M108" s="34"/>
      <c r="N108" s="28"/>
      <c r="O108" s="34"/>
      <c r="P108" s="28"/>
      <c r="Q108" s="34"/>
      <c r="R108" s="28"/>
      <c r="S108" s="33"/>
      <c r="T108" s="33"/>
      <c r="U108" s="33"/>
      <c r="V108" s="33"/>
    </row>
    <row r="109" spans="1:22" ht="15.75" customHeight="1">
      <c r="A109" s="27"/>
      <c r="B109" s="28"/>
      <c r="C109" s="34"/>
      <c r="D109" s="28"/>
      <c r="E109" s="34"/>
      <c r="F109" s="28"/>
      <c r="G109" s="34"/>
      <c r="H109" s="28"/>
      <c r="I109" s="34"/>
      <c r="J109" s="28"/>
      <c r="K109" s="34"/>
      <c r="L109" s="28"/>
      <c r="M109" s="34"/>
      <c r="N109" s="28"/>
      <c r="O109" s="34"/>
      <c r="P109" s="28"/>
      <c r="Q109" s="34"/>
      <c r="R109" s="28"/>
      <c r="S109" s="33"/>
      <c r="T109" s="33"/>
      <c r="U109" s="33"/>
      <c r="V109" s="33"/>
    </row>
    <row r="110" spans="1:22" ht="15.75" customHeight="1">
      <c r="A110" s="27"/>
      <c r="B110" s="28"/>
      <c r="C110" s="34"/>
      <c r="D110" s="34"/>
      <c r="E110" s="34"/>
      <c r="F110" s="34"/>
      <c r="G110" s="34"/>
      <c r="H110" s="34"/>
      <c r="I110" s="34"/>
      <c r="J110" s="34"/>
      <c r="K110" s="34"/>
      <c r="L110" s="28"/>
      <c r="M110" s="34"/>
      <c r="N110" s="34"/>
      <c r="O110" s="34"/>
      <c r="P110" s="34"/>
      <c r="Q110" s="34"/>
      <c r="R110" s="28"/>
      <c r="S110" s="33"/>
      <c r="T110" s="33"/>
      <c r="U110" s="33"/>
      <c r="V110" s="33"/>
    </row>
    <row r="111" spans="1:22" ht="15.75" customHeight="1">
      <c r="A111" s="27"/>
      <c r="B111" s="28"/>
      <c r="C111" s="34"/>
      <c r="D111" s="34"/>
      <c r="E111" s="34"/>
      <c r="F111" s="34"/>
      <c r="G111" s="34"/>
      <c r="H111" s="34"/>
      <c r="I111" s="34"/>
      <c r="J111" s="34"/>
      <c r="K111" s="34"/>
      <c r="L111" s="28"/>
      <c r="M111" s="34"/>
      <c r="N111" s="34"/>
      <c r="O111" s="34"/>
      <c r="P111" s="34"/>
      <c r="Q111" s="34"/>
      <c r="R111" s="28"/>
      <c r="S111" s="33"/>
      <c r="T111" s="33"/>
      <c r="U111" s="33"/>
      <c r="V111" s="33"/>
    </row>
    <row r="112" spans="1:22" ht="15.75" customHeight="1">
      <c r="A112" s="27"/>
      <c r="B112" s="28"/>
      <c r="C112" s="34"/>
      <c r="D112" s="34"/>
      <c r="E112" s="34"/>
      <c r="F112" s="34"/>
      <c r="G112" s="34"/>
      <c r="H112" s="34"/>
      <c r="I112" s="34"/>
      <c r="J112" s="34"/>
      <c r="K112" s="34"/>
      <c r="L112" s="28"/>
      <c r="M112" s="34"/>
      <c r="N112" s="34"/>
      <c r="O112" s="34"/>
      <c r="P112" s="34"/>
      <c r="Q112" s="34"/>
      <c r="R112" s="28"/>
      <c r="S112" s="33"/>
      <c r="T112" s="33"/>
      <c r="U112" s="33"/>
      <c r="V112" s="33"/>
    </row>
    <row r="113" spans="1:22" ht="15.75" customHeight="1">
      <c r="A113" s="27"/>
      <c r="B113" s="28"/>
      <c r="C113" s="34"/>
      <c r="D113" s="34"/>
      <c r="E113" s="34"/>
      <c r="F113" s="34"/>
      <c r="G113" s="34"/>
      <c r="H113" s="34"/>
      <c r="I113" s="34"/>
      <c r="J113" s="34"/>
      <c r="K113" s="34"/>
      <c r="L113" s="28"/>
      <c r="M113" s="34"/>
      <c r="N113" s="34"/>
      <c r="O113" s="34"/>
      <c r="P113" s="34"/>
      <c r="Q113" s="34"/>
      <c r="R113" s="28"/>
      <c r="S113" s="33"/>
      <c r="T113" s="33"/>
      <c r="U113" s="33"/>
      <c r="V113" s="33"/>
    </row>
    <row r="114" spans="1:22" ht="15.75" customHeight="1">
      <c r="A114" s="27"/>
      <c r="B114" s="28"/>
      <c r="C114" s="34"/>
      <c r="D114" s="34"/>
      <c r="E114" s="34"/>
      <c r="F114" s="34"/>
      <c r="G114" s="34"/>
      <c r="H114" s="34"/>
      <c r="I114" s="34"/>
      <c r="J114" s="34"/>
      <c r="K114" s="34"/>
      <c r="L114" s="28"/>
      <c r="M114" s="34"/>
      <c r="N114" s="34"/>
      <c r="O114" s="34"/>
      <c r="P114" s="34"/>
      <c r="Q114" s="34"/>
      <c r="R114" s="28"/>
      <c r="S114" s="33"/>
      <c r="T114" s="33"/>
      <c r="U114" s="33"/>
      <c r="V114" s="33"/>
    </row>
    <row r="115" spans="1:22" ht="15.75" customHeight="1">
      <c r="A115" s="27"/>
      <c r="B115" s="28"/>
      <c r="C115" s="34"/>
      <c r="D115" s="34"/>
      <c r="E115" s="34"/>
      <c r="F115" s="34"/>
      <c r="G115" s="34"/>
      <c r="H115" s="34"/>
      <c r="I115" s="34"/>
      <c r="J115" s="34"/>
      <c r="K115" s="34"/>
      <c r="L115" s="28"/>
      <c r="M115" s="34"/>
      <c r="N115" s="34"/>
      <c r="O115" s="34"/>
      <c r="P115" s="34"/>
      <c r="Q115" s="34"/>
      <c r="R115" s="28"/>
      <c r="S115" s="33"/>
      <c r="T115" s="33"/>
      <c r="U115" s="33"/>
      <c r="V115" s="33"/>
    </row>
    <row r="116" spans="1:22" ht="15.75" customHeight="1">
      <c r="A116" s="27"/>
      <c r="B116" s="28"/>
      <c r="C116" s="34"/>
      <c r="D116" s="34"/>
      <c r="E116" s="34"/>
      <c r="F116" s="34"/>
      <c r="G116" s="34"/>
      <c r="H116" s="34"/>
      <c r="I116" s="34"/>
      <c r="J116" s="34"/>
      <c r="K116" s="34"/>
      <c r="L116" s="28"/>
      <c r="M116" s="34"/>
      <c r="N116" s="34"/>
      <c r="O116" s="34"/>
      <c r="P116" s="34"/>
      <c r="Q116" s="34"/>
      <c r="R116" s="28"/>
      <c r="S116" s="33"/>
      <c r="T116" s="33"/>
      <c r="U116" s="33"/>
      <c r="V116" s="33"/>
    </row>
    <row r="117" spans="1:22" ht="15.75" customHeight="1">
      <c r="A117" s="27"/>
      <c r="B117" s="28"/>
      <c r="C117" s="34"/>
      <c r="D117" s="34"/>
      <c r="E117" s="34"/>
      <c r="F117" s="34"/>
      <c r="G117" s="34"/>
      <c r="H117" s="34"/>
      <c r="I117" s="34"/>
      <c r="J117" s="34"/>
      <c r="K117" s="34"/>
      <c r="L117" s="28"/>
      <c r="M117" s="34"/>
      <c r="N117" s="34"/>
      <c r="O117" s="34"/>
      <c r="P117" s="34"/>
      <c r="Q117" s="34"/>
      <c r="R117" s="28"/>
      <c r="S117" s="33"/>
      <c r="T117" s="33"/>
      <c r="U117" s="33"/>
      <c r="V117" s="33"/>
    </row>
    <row r="118" spans="1:22" ht="15.75" customHeight="1">
      <c r="A118" s="27"/>
      <c r="B118" s="28"/>
      <c r="C118" s="34"/>
      <c r="D118" s="34"/>
      <c r="E118" s="34"/>
      <c r="F118" s="34"/>
      <c r="G118" s="34"/>
      <c r="H118" s="34"/>
      <c r="I118" s="34"/>
      <c r="J118" s="34"/>
      <c r="K118" s="34"/>
      <c r="L118" s="28"/>
      <c r="M118" s="34"/>
      <c r="N118" s="34"/>
      <c r="O118" s="34"/>
      <c r="P118" s="34"/>
      <c r="Q118" s="34"/>
      <c r="R118" s="28"/>
      <c r="S118" s="33"/>
      <c r="T118" s="33"/>
      <c r="U118" s="33"/>
      <c r="V118" s="33"/>
    </row>
    <row r="119" spans="1:22" ht="15.75" customHeight="1">
      <c r="A119" s="27"/>
      <c r="B119" s="28"/>
      <c r="C119" s="34"/>
      <c r="D119" s="28"/>
      <c r="E119" s="34"/>
      <c r="F119" s="28"/>
      <c r="G119" s="34"/>
      <c r="H119" s="28"/>
      <c r="I119" s="34"/>
      <c r="J119" s="28"/>
      <c r="K119" s="34"/>
      <c r="L119" s="28"/>
      <c r="M119" s="34"/>
      <c r="N119" s="28"/>
      <c r="O119" s="34"/>
      <c r="P119" s="28"/>
      <c r="Q119" s="34"/>
      <c r="R119" s="28"/>
      <c r="S119" s="33"/>
      <c r="T119" s="33"/>
      <c r="U119" s="33"/>
      <c r="V119" s="33"/>
    </row>
    <row r="120" spans="1:22" ht="15.75" customHeight="1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33"/>
      <c r="T120" s="33"/>
      <c r="U120" s="33"/>
      <c r="V120" s="33"/>
    </row>
    <row r="121" spans="1:22" ht="15.75" customHeight="1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33"/>
      <c r="T121" s="33"/>
      <c r="U121" s="33"/>
      <c r="V121" s="33"/>
    </row>
    <row r="122" spans="1:22" ht="15.75" customHeight="1">
      <c r="A122" s="185"/>
      <c r="B122" s="182"/>
      <c r="C122" s="182"/>
      <c r="D122" s="182"/>
      <c r="E122" s="182"/>
      <c r="F122" s="182"/>
      <c r="G122" s="182"/>
      <c r="H122" s="182"/>
      <c r="I122" s="182"/>
      <c r="J122" s="182"/>
      <c r="K122" s="182"/>
      <c r="L122" s="182"/>
      <c r="M122" s="182"/>
      <c r="N122" s="182"/>
      <c r="O122" s="182"/>
      <c r="P122" s="182"/>
      <c r="Q122" s="182"/>
      <c r="R122" s="28"/>
      <c r="S122" s="33"/>
      <c r="T122" s="33"/>
      <c r="U122" s="33"/>
      <c r="V122" s="33"/>
    </row>
    <row r="123" spans="1:22" ht="15.75" customHeight="1">
      <c r="A123" s="28"/>
      <c r="B123" s="186"/>
      <c r="C123" s="182"/>
      <c r="D123" s="182"/>
      <c r="E123" s="182"/>
      <c r="F123" s="182"/>
      <c r="G123" s="182"/>
      <c r="H123" s="182"/>
      <c r="I123" s="182"/>
      <c r="J123" s="182"/>
      <c r="K123" s="182"/>
      <c r="L123" s="182"/>
      <c r="M123" s="182"/>
      <c r="N123" s="182"/>
      <c r="O123" s="182"/>
      <c r="P123" s="182"/>
      <c r="Q123" s="182"/>
      <c r="R123" s="28"/>
      <c r="S123" s="33"/>
      <c r="T123" s="33"/>
      <c r="U123" s="33"/>
      <c r="V123" s="33"/>
    </row>
    <row r="124" spans="1:22" ht="15.75" customHeight="1">
      <c r="A124" s="28"/>
      <c r="B124" s="27"/>
      <c r="C124" s="35"/>
      <c r="D124" s="35"/>
      <c r="E124" s="35"/>
      <c r="F124" s="35"/>
      <c r="G124" s="27"/>
      <c r="H124" s="35"/>
      <c r="I124" s="35"/>
      <c r="J124" s="35"/>
      <c r="K124" s="35"/>
      <c r="L124" s="27"/>
      <c r="M124" s="27"/>
      <c r="N124" s="35"/>
      <c r="O124" s="35"/>
      <c r="P124" s="35"/>
      <c r="Q124" s="27"/>
      <c r="R124" s="28"/>
      <c r="S124" s="33"/>
      <c r="T124" s="33"/>
      <c r="U124" s="33"/>
      <c r="V124" s="33"/>
    </row>
    <row r="125" spans="1:22" ht="15.75" customHeight="1">
      <c r="A125" s="27"/>
      <c r="B125" s="28"/>
      <c r="C125" s="34"/>
      <c r="D125" s="34"/>
      <c r="E125" s="34"/>
      <c r="F125" s="34"/>
      <c r="G125" s="28"/>
      <c r="H125" s="34"/>
      <c r="I125" s="34"/>
      <c r="J125" s="34"/>
      <c r="K125" s="34"/>
      <c r="L125" s="28"/>
      <c r="M125" s="28"/>
      <c r="N125" s="34"/>
      <c r="O125" s="34"/>
      <c r="P125" s="34"/>
      <c r="Q125" s="28"/>
      <c r="R125" s="28"/>
      <c r="S125" s="33"/>
      <c r="T125" s="33"/>
      <c r="U125" s="33"/>
      <c r="V125" s="33"/>
    </row>
    <row r="126" spans="1:22" ht="15.75" customHeight="1">
      <c r="A126" s="27"/>
      <c r="B126" s="28"/>
      <c r="C126" s="34"/>
      <c r="D126" s="34"/>
      <c r="E126" s="34"/>
      <c r="F126" s="34"/>
      <c r="G126" s="34"/>
      <c r="H126" s="34"/>
      <c r="I126" s="34"/>
      <c r="J126" s="34"/>
      <c r="K126" s="34"/>
      <c r="L126" s="28"/>
      <c r="M126" s="34"/>
      <c r="N126" s="34"/>
      <c r="O126" s="34"/>
      <c r="P126" s="34"/>
      <c r="Q126" s="34"/>
      <c r="R126" s="28"/>
      <c r="S126" s="33"/>
      <c r="T126" s="33"/>
      <c r="U126" s="33"/>
      <c r="V126" s="33"/>
    </row>
    <row r="127" spans="1:22" ht="15.75" customHeight="1">
      <c r="A127" s="27"/>
      <c r="B127" s="28"/>
      <c r="C127" s="34"/>
      <c r="D127" s="34"/>
      <c r="E127" s="34"/>
      <c r="F127" s="34"/>
      <c r="G127" s="34"/>
      <c r="H127" s="34"/>
      <c r="I127" s="34"/>
      <c r="J127" s="34"/>
      <c r="K127" s="34"/>
      <c r="L127" s="28"/>
      <c r="M127" s="34"/>
      <c r="N127" s="34"/>
      <c r="O127" s="34"/>
      <c r="P127" s="34"/>
      <c r="Q127" s="34"/>
      <c r="R127" s="28"/>
      <c r="S127" s="33"/>
      <c r="T127" s="33"/>
      <c r="U127" s="33"/>
      <c r="V127" s="33"/>
    </row>
    <row r="128" spans="1:22" ht="15.75" customHeight="1">
      <c r="A128" s="27"/>
      <c r="B128" s="28"/>
      <c r="C128" s="34"/>
      <c r="D128" s="34"/>
      <c r="E128" s="34"/>
      <c r="F128" s="34"/>
      <c r="G128" s="34"/>
      <c r="H128" s="34"/>
      <c r="I128" s="34"/>
      <c r="J128" s="34"/>
      <c r="K128" s="34"/>
      <c r="L128" s="28"/>
      <c r="M128" s="34"/>
      <c r="N128" s="34"/>
      <c r="O128" s="34"/>
      <c r="P128" s="34"/>
      <c r="Q128" s="34"/>
      <c r="R128" s="28"/>
      <c r="S128" s="33"/>
      <c r="T128" s="33"/>
      <c r="U128" s="33"/>
      <c r="V128" s="33"/>
    </row>
    <row r="129" spans="1:22" ht="15.75" customHeight="1">
      <c r="A129" s="27"/>
      <c r="B129" s="28"/>
      <c r="C129" s="34"/>
      <c r="D129" s="34"/>
      <c r="E129" s="34"/>
      <c r="F129" s="34"/>
      <c r="G129" s="34"/>
      <c r="H129" s="34"/>
      <c r="I129" s="34"/>
      <c r="J129" s="34"/>
      <c r="K129" s="34"/>
      <c r="L129" s="28"/>
      <c r="M129" s="34"/>
      <c r="N129" s="34"/>
      <c r="O129" s="34"/>
      <c r="P129" s="34"/>
      <c r="Q129" s="34"/>
      <c r="R129" s="28"/>
      <c r="S129" s="33"/>
      <c r="T129" s="33"/>
      <c r="U129" s="33"/>
      <c r="V129" s="33"/>
    </row>
    <row r="130" spans="1:22" ht="15.75" customHeight="1">
      <c r="A130" s="27"/>
      <c r="B130" s="28"/>
      <c r="C130" s="34"/>
      <c r="D130" s="34"/>
      <c r="E130" s="34"/>
      <c r="F130" s="34"/>
      <c r="G130" s="34"/>
      <c r="H130" s="34"/>
      <c r="I130" s="34"/>
      <c r="J130" s="34"/>
      <c r="K130" s="34"/>
      <c r="L130" s="28"/>
      <c r="M130" s="34"/>
      <c r="N130" s="34"/>
      <c r="O130" s="34"/>
      <c r="P130" s="34"/>
      <c r="Q130" s="34"/>
      <c r="R130" s="28"/>
      <c r="S130" s="33"/>
      <c r="T130" s="33"/>
      <c r="U130" s="33"/>
      <c r="V130" s="33"/>
    </row>
    <row r="131" spans="1:22" ht="15.75" customHeight="1">
      <c r="A131" s="27"/>
      <c r="B131" s="28"/>
      <c r="C131" s="34"/>
      <c r="D131" s="34"/>
      <c r="E131" s="34"/>
      <c r="F131" s="34"/>
      <c r="G131" s="34"/>
      <c r="H131" s="34"/>
      <c r="I131" s="34"/>
      <c r="J131" s="34"/>
      <c r="K131" s="34"/>
      <c r="L131" s="28"/>
      <c r="M131" s="34"/>
      <c r="N131" s="34"/>
      <c r="O131" s="34"/>
      <c r="P131" s="34"/>
      <c r="Q131" s="34"/>
      <c r="R131" s="28"/>
      <c r="S131" s="33"/>
      <c r="T131" s="33"/>
      <c r="U131" s="33"/>
      <c r="V131" s="33"/>
    </row>
    <row r="132" spans="1:22" ht="15.75" customHeight="1">
      <c r="A132" s="27"/>
      <c r="B132" s="28"/>
      <c r="C132" s="34"/>
      <c r="D132" s="34"/>
      <c r="E132" s="34"/>
      <c r="F132" s="34"/>
      <c r="G132" s="34"/>
      <c r="H132" s="34"/>
      <c r="I132" s="34"/>
      <c r="J132" s="34"/>
      <c r="K132" s="34"/>
      <c r="L132" s="28"/>
      <c r="M132" s="34"/>
      <c r="N132" s="34"/>
      <c r="O132" s="34"/>
      <c r="P132" s="34"/>
      <c r="Q132" s="34"/>
      <c r="R132" s="28"/>
      <c r="S132" s="33"/>
      <c r="T132" s="33"/>
      <c r="U132" s="33"/>
      <c r="V132" s="33"/>
    </row>
    <row r="133" spans="1:22" ht="15.75" customHeight="1">
      <c r="A133" s="27"/>
      <c r="B133" s="28"/>
      <c r="C133" s="34"/>
      <c r="D133" s="28"/>
      <c r="E133" s="34"/>
      <c r="F133" s="28"/>
      <c r="G133" s="34"/>
      <c r="H133" s="28"/>
      <c r="I133" s="34"/>
      <c r="J133" s="28"/>
      <c r="K133" s="34"/>
      <c r="L133" s="28"/>
      <c r="M133" s="34"/>
      <c r="N133" s="28"/>
      <c r="O133" s="34"/>
      <c r="P133" s="28"/>
      <c r="Q133" s="34"/>
      <c r="R133" s="28"/>
      <c r="S133" s="33"/>
      <c r="T133" s="33"/>
      <c r="U133" s="33"/>
      <c r="V133" s="33"/>
    </row>
    <row r="134" spans="1:22" ht="15.75" customHeight="1">
      <c r="A134" s="27"/>
      <c r="B134" s="28"/>
      <c r="C134" s="34"/>
      <c r="D134" s="28"/>
      <c r="E134" s="34"/>
      <c r="F134" s="28"/>
      <c r="G134" s="34"/>
      <c r="H134" s="28"/>
      <c r="I134" s="34"/>
      <c r="J134" s="28"/>
      <c r="K134" s="34"/>
      <c r="L134" s="28"/>
      <c r="M134" s="34"/>
      <c r="N134" s="28"/>
      <c r="O134" s="34"/>
      <c r="P134" s="28"/>
      <c r="Q134" s="34"/>
      <c r="R134" s="28"/>
      <c r="S134" s="33"/>
      <c r="T134" s="33"/>
      <c r="U134" s="33"/>
      <c r="V134" s="33"/>
    </row>
    <row r="135" spans="1:22" ht="15.75" customHeight="1">
      <c r="A135" s="27"/>
      <c r="B135" s="28"/>
      <c r="C135" s="34"/>
      <c r="D135" s="28"/>
      <c r="E135" s="34"/>
      <c r="F135" s="28"/>
      <c r="G135" s="34"/>
      <c r="H135" s="28"/>
      <c r="I135" s="34"/>
      <c r="J135" s="28"/>
      <c r="K135" s="34"/>
      <c r="L135" s="28"/>
      <c r="M135" s="34"/>
      <c r="N135" s="28"/>
      <c r="O135" s="34"/>
      <c r="P135" s="28"/>
      <c r="Q135" s="34"/>
      <c r="R135" s="28"/>
      <c r="S135" s="33"/>
      <c r="T135" s="33"/>
      <c r="U135" s="33"/>
      <c r="V135" s="33"/>
    </row>
    <row r="136" spans="1:22" ht="15.75" customHeight="1">
      <c r="A136" s="27"/>
      <c r="B136" s="28"/>
      <c r="C136" s="34"/>
      <c r="D136" s="28"/>
      <c r="E136" s="34"/>
      <c r="F136" s="28"/>
      <c r="G136" s="34"/>
      <c r="H136" s="28"/>
      <c r="I136" s="34"/>
      <c r="J136" s="28"/>
      <c r="K136" s="34"/>
      <c r="L136" s="28"/>
      <c r="M136" s="34"/>
      <c r="N136" s="28"/>
      <c r="O136" s="34"/>
      <c r="P136" s="28"/>
      <c r="Q136" s="34"/>
      <c r="R136" s="28"/>
      <c r="S136" s="33"/>
      <c r="T136" s="33"/>
      <c r="U136" s="33"/>
      <c r="V136" s="33"/>
    </row>
    <row r="137" spans="1:22" ht="15.75" customHeight="1">
      <c r="A137" s="27"/>
      <c r="B137" s="28"/>
      <c r="C137" s="34"/>
      <c r="D137" s="28"/>
      <c r="E137" s="34"/>
      <c r="F137" s="28"/>
      <c r="G137" s="34"/>
      <c r="H137" s="28"/>
      <c r="I137" s="34"/>
      <c r="J137" s="28"/>
      <c r="K137" s="34"/>
      <c r="L137" s="28"/>
      <c r="M137" s="34"/>
      <c r="N137" s="28"/>
      <c r="O137" s="34"/>
      <c r="P137" s="28"/>
      <c r="Q137" s="34"/>
      <c r="R137" s="28"/>
      <c r="S137" s="33"/>
      <c r="T137" s="33"/>
      <c r="U137" s="33"/>
      <c r="V137" s="33"/>
    </row>
    <row r="138" spans="1:22" ht="15.75" customHeight="1">
      <c r="A138" s="27"/>
      <c r="B138" s="28"/>
      <c r="C138" s="34"/>
      <c r="D138" s="28"/>
      <c r="E138" s="34"/>
      <c r="F138" s="28"/>
      <c r="G138" s="34"/>
      <c r="H138" s="28"/>
      <c r="I138" s="34"/>
      <c r="J138" s="28"/>
      <c r="K138" s="34"/>
      <c r="L138" s="28"/>
      <c r="M138" s="34"/>
      <c r="N138" s="28"/>
      <c r="O138" s="34"/>
      <c r="P138" s="28"/>
      <c r="Q138" s="34"/>
      <c r="R138" s="28"/>
      <c r="S138" s="33"/>
      <c r="T138" s="33"/>
      <c r="U138" s="33"/>
      <c r="V138" s="33"/>
    </row>
    <row r="139" spans="1:22" ht="15.75" customHeight="1">
      <c r="A139" s="27"/>
      <c r="B139" s="28"/>
      <c r="C139" s="34"/>
      <c r="D139" s="28"/>
      <c r="E139" s="34"/>
      <c r="F139" s="28"/>
      <c r="G139" s="34"/>
      <c r="H139" s="28"/>
      <c r="I139" s="34"/>
      <c r="J139" s="28"/>
      <c r="K139" s="34"/>
      <c r="L139" s="28"/>
      <c r="M139" s="34"/>
      <c r="N139" s="28"/>
      <c r="O139" s="34"/>
      <c r="P139" s="28"/>
      <c r="Q139" s="34"/>
      <c r="R139" s="28"/>
      <c r="S139" s="33"/>
      <c r="T139" s="33"/>
      <c r="U139" s="33"/>
      <c r="V139" s="33"/>
    </row>
    <row r="140" spans="1:22" ht="15.75" customHeight="1">
      <c r="A140" s="27"/>
      <c r="B140" s="28"/>
      <c r="C140" s="34"/>
      <c r="D140" s="28"/>
      <c r="E140" s="34"/>
      <c r="F140" s="28"/>
      <c r="G140" s="34"/>
      <c r="H140" s="28"/>
      <c r="I140" s="34"/>
      <c r="J140" s="28"/>
      <c r="K140" s="34"/>
      <c r="L140" s="28"/>
      <c r="M140" s="34"/>
      <c r="N140" s="28"/>
      <c r="O140" s="34"/>
      <c r="P140" s="28"/>
      <c r="Q140" s="34"/>
      <c r="R140" s="28"/>
      <c r="S140" s="33"/>
      <c r="T140" s="33"/>
      <c r="U140" s="33"/>
      <c r="V140" s="33"/>
    </row>
    <row r="141" spans="1:22" ht="15.75" customHeight="1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33"/>
      <c r="T141" s="33"/>
      <c r="U141" s="33"/>
      <c r="V141" s="33"/>
    </row>
    <row r="142" spans="1:22" ht="15.75" customHeight="1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33"/>
      <c r="T142" s="33"/>
      <c r="U142" s="33"/>
      <c r="V142" s="33"/>
    </row>
    <row r="143" spans="1:22" ht="15.75" customHeight="1">
      <c r="A143" s="185"/>
      <c r="B143" s="182"/>
      <c r="C143" s="182"/>
      <c r="D143" s="182"/>
      <c r="E143" s="182"/>
      <c r="F143" s="182"/>
      <c r="G143" s="182"/>
      <c r="H143" s="182"/>
      <c r="I143" s="182"/>
      <c r="J143" s="182"/>
      <c r="K143" s="182"/>
      <c r="L143" s="182"/>
      <c r="M143" s="182"/>
      <c r="N143" s="182"/>
      <c r="O143" s="182"/>
      <c r="P143" s="182"/>
      <c r="Q143" s="182"/>
      <c r="R143" s="28"/>
      <c r="S143" s="33"/>
      <c r="T143" s="33"/>
      <c r="U143" s="33"/>
      <c r="V143" s="33"/>
    </row>
    <row r="144" spans="1:22" ht="15.75" customHeight="1">
      <c r="A144" s="28"/>
      <c r="B144" s="186"/>
      <c r="C144" s="182"/>
      <c r="D144" s="182"/>
      <c r="E144" s="182"/>
      <c r="F144" s="182"/>
      <c r="G144" s="182"/>
      <c r="H144" s="182"/>
      <c r="I144" s="182"/>
      <c r="J144" s="182"/>
      <c r="K144" s="182"/>
      <c r="L144" s="182"/>
      <c r="M144" s="182"/>
      <c r="N144" s="182"/>
      <c r="O144" s="182"/>
      <c r="P144" s="182"/>
      <c r="Q144" s="182"/>
      <c r="R144" s="28"/>
      <c r="S144" s="33"/>
      <c r="T144" s="33"/>
      <c r="U144" s="33"/>
      <c r="V144" s="33"/>
    </row>
    <row r="145" spans="1:22" ht="15.75" customHeight="1">
      <c r="A145" s="28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8"/>
      <c r="S145" s="33"/>
      <c r="T145" s="33"/>
      <c r="U145" s="33"/>
      <c r="V145" s="33"/>
    </row>
    <row r="146" spans="1:22" ht="15.75" customHeight="1">
      <c r="A146" s="27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33"/>
      <c r="T146" s="33"/>
      <c r="U146" s="33"/>
      <c r="V146" s="33"/>
    </row>
    <row r="147" spans="1:22" ht="15.75" customHeight="1">
      <c r="A147" s="27"/>
      <c r="B147" s="28"/>
      <c r="C147" s="34"/>
      <c r="D147" s="28"/>
      <c r="E147" s="34"/>
      <c r="F147" s="28"/>
      <c r="G147" s="34"/>
      <c r="H147" s="28"/>
      <c r="I147" s="34"/>
      <c r="J147" s="28"/>
      <c r="K147" s="34"/>
      <c r="L147" s="28"/>
      <c r="M147" s="34"/>
      <c r="N147" s="28"/>
      <c r="O147" s="34"/>
      <c r="P147" s="28"/>
      <c r="Q147" s="34"/>
      <c r="R147" s="28"/>
      <c r="S147" s="33"/>
      <c r="T147" s="33"/>
      <c r="U147" s="33"/>
      <c r="V147" s="33"/>
    </row>
    <row r="148" spans="1:22" ht="15.75" customHeight="1">
      <c r="A148" s="27"/>
      <c r="B148" s="28"/>
      <c r="C148" s="34"/>
      <c r="D148" s="28"/>
      <c r="E148" s="34"/>
      <c r="F148" s="28"/>
      <c r="G148" s="34"/>
      <c r="H148" s="28"/>
      <c r="I148" s="34"/>
      <c r="J148" s="28"/>
      <c r="K148" s="34"/>
      <c r="L148" s="28"/>
      <c r="M148" s="34"/>
      <c r="N148" s="28"/>
      <c r="O148" s="34"/>
      <c r="P148" s="28"/>
      <c r="Q148" s="34"/>
      <c r="R148" s="28"/>
      <c r="S148" s="33"/>
      <c r="T148" s="33"/>
      <c r="U148" s="33"/>
      <c r="V148" s="33"/>
    </row>
    <row r="149" spans="1:22" ht="15.75" customHeight="1">
      <c r="A149" s="27"/>
      <c r="B149" s="28"/>
      <c r="C149" s="34"/>
      <c r="D149" s="28"/>
      <c r="E149" s="34"/>
      <c r="F149" s="28"/>
      <c r="G149" s="34"/>
      <c r="H149" s="28"/>
      <c r="I149" s="34"/>
      <c r="J149" s="28"/>
      <c r="K149" s="34"/>
      <c r="L149" s="28"/>
      <c r="M149" s="34"/>
      <c r="N149" s="28"/>
      <c r="O149" s="34"/>
      <c r="P149" s="28"/>
      <c r="Q149" s="34"/>
      <c r="R149" s="28"/>
      <c r="S149" s="33"/>
      <c r="T149" s="33"/>
      <c r="U149" s="33"/>
      <c r="V149" s="33"/>
    </row>
    <row r="150" spans="1:22" ht="15.75" customHeight="1">
      <c r="A150" s="27"/>
      <c r="B150" s="28"/>
      <c r="C150" s="34"/>
      <c r="D150" s="28"/>
      <c r="E150" s="34"/>
      <c r="F150" s="28"/>
      <c r="G150" s="34"/>
      <c r="H150" s="28"/>
      <c r="I150" s="34"/>
      <c r="J150" s="28"/>
      <c r="K150" s="34"/>
      <c r="L150" s="28"/>
      <c r="M150" s="34"/>
      <c r="N150" s="28"/>
      <c r="O150" s="34"/>
      <c r="P150" s="28"/>
      <c r="Q150" s="34"/>
      <c r="R150" s="28"/>
      <c r="S150" s="33"/>
      <c r="T150" s="33"/>
      <c r="U150" s="33"/>
      <c r="V150" s="33"/>
    </row>
    <row r="151" spans="1:22" ht="15.75" customHeight="1">
      <c r="A151" s="27"/>
      <c r="B151" s="28"/>
      <c r="C151" s="34"/>
      <c r="D151" s="28"/>
      <c r="E151" s="34"/>
      <c r="F151" s="28"/>
      <c r="G151" s="34"/>
      <c r="H151" s="28"/>
      <c r="I151" s="34"/>
      <c r="J151" s="28"/>
      <c r="K151" s="34"/>
      <c r="L151" s="28"/>
      <c r="M151" s="34"/>
      <c r="N151" s="28"/>
      <c r="O151" s="34"/>
      <c r="P151" s="28"/>
      <c r="Q151" s="34"/>
      <c r="R151" s="28"/>
      <c r="S151" s="33"/>
      <c r="T151" s="33"/>
      <c r="U151" s="33"/>
      <c r="V151" s="33"/>
    </row>
    <row r="152" spans="1:22" ht="15.75" customHeight="1">
      <c r="A152" s="27"/>
      <c r="B152" s="28"/>
      <c r="C152" s="34"/>
      <c r="D152" s="28"/>
      <c r="E152" s="34"/>
      <c r="F152" s="28"/>
      <c r="G152" s="34"/>
      <c r="H152" s="28"/>
      <c r="I152" s="34"/>
      <c r="J152" s="28"/>
      <c r="K152" s="34"/>
      <c r="L152" s="28"/>
      <c r="M152" s="34"/>
      <c r="N152" s="28"/>
      <c r="O152" s="34"/>
      <c r="P152" s="28"/>
      <c r="Q152" s="34"/>
      <c r="R152" s="28"/>
      <c r="S152" s="33"/>
      <c r="T152" s="33"/>
      <c r="U152" s="33"/>
      <c r="V152" s="33"/>
    </row>
    <row r="153" spans="1:22" ht="15.75" customHeight="1">
      <c r="A153" s="27"/>
      <c r="B153" s="28"/>
      <c r="C153" s="34"/>
      <c r="D153" s="28"/>
      <c r="E153" s="34"/>
      <c r="F153" s="28"/>
      <c r="G153" s="34"/>
      <c r="H153" s="28"/>
      <c r="I153" s="34"/>
      <c r="J153" s="28"/>
      <c r="K153" s="34"/>
      <c r="L153" s="28"/>
      <c r="M153" s="34"/>
      <c r="N153" s="28"/>
      <c r="O153" s="34"/>
      <c r="P153" s="28"/>
      <c r="Q153" s="34"/>
      <c r="R153" s="28"/>
      <c r="S153" s="33"/>
      <c r="T153" s="33"/>
      <c r="U153" s="33"/>
      <c r="V153" s="33"/>
    </row>
    <row r="154" spans="1:22" ht="15.75" customHeight="1">
      <c r="A154" s="27"/>
      <c r="B154" s="28"/>
      <c r="C154" s="34"/>
      <c r="D154" s="28"/>
      <c r="E154" s="34"/>
      <c r="F154" s="28"/>
      <c r="G154" s="34"/>
      <c r="H154" s="28"/>
      <c r="I154" s="34"/>
      <c r="J154" s="28"/>
      <c r="K154" s="34"/>
      <c r="L154" s="28"/>
      <c r="M154" s="34"/>
      <c r="N154" s="28"/>
      <c r="O154" s="34"/>
      <c r="P154" s="28"/>
      <c r="Q154" s="34"/>
      <c r="R154" s="28"/>
      <c r="S154" s="33"/>
      <c r="T154" s="33"/>
      <c r="U154" s="33"/>
      <c r="V154" s="33"/>
    </row>
    <row r="155" spans="1:22" ht="15.75" customHeight="1">
      <c r="A155" s="27"/>
      <c r="B155" s="28"/>
      <c r="C155" s="34"/>
      <c r="D155" s="28"/>
      <c r="E155" s="34"/>
      <c r="F155" s="28"/>
      <c r="G155" s="34"/>
      <c r="H155" s="28"/>
      <c r="I155" s="34"/>
      <c r="J155" s="28"/>
      <c r="K155" s="34"/>
      <c r="L155" s="28"/>
      <c r="M155" s="34"/>
      <c r="N155" s="28"/>
      <c r="O155" s="34"/>
      <c r="P155" s="28"/>
      <c r="Q155" s="34"/>
      <c r="R155" s="28"/>
      <c r="S155" s="33"/>
      <c r="T155" s="33"/>
      <c r="U155" s="33"/>
      <c r="V155" s="33"/>
    </row>
    <row r="156" spans="1:22" ht="15.75" customHeight="1">
      <c r="A156" s="27"/>
      <c r="B156" s="28"/>
      <c r="C156" s="34"/>
      <c r="D156" s="28"/>
      <c r="E156" s="34"/>
      <c r="F156" s="28"/>
      <c r="G156" s="34"/>
      <c r="H156" s="28"/>
      <c r="I156" s="34"/>
      <c r="J156" s="28"/>
      <c r="K156" s="34"/>
      <c r="L156" s="28"/>
      <c r="M156" s="34"/>
      <c r="N156" s="28"/>
      <c r="O156" s="34"/>
      <c r="P156" s="28"/>
      <c r="Q156" s="34"/>
      <c r="R156" s="28"/>
      <c r="S156" s="33"/>
      <c r="T156" s="33"/>
      <c r="U156" s="33"/>
      <c r="V156" s="33"/>
    </row>
    <row r="157" spans="1:22" ht="15.75" customHeight="1">
      <c r="A157" s="27"/>
      <c r="B157" s="28"/>
      <c r="C157" s="34"/>
      <c r="D157" s="28"/>
      <c r="E157" s="34"/>
      <c r="F157" s="28"/>
      <c r="G157" s="34"/>
      <c r="H157" s="28"/>
      <c r="I157" s="34"/>
      <c r="J157" s="28"/>
      <c r="K157" s="34"/>
      <c r="L157" s="28"/>
      <c r="M157" s="34"/>
      <c r="N157" s="28"/>
      <c r="O157" s="34"/>
      <c r="P157" s="28"/>
      <c r="Q157" s="34"/>
      <c r="R157" s="28"/>
      <c r="S157" s="33"/>
      <c r="T157" s="33"/>
      <c r="U157" s="33"/>
      <c r="V157" s="33"/>
    </row>
    <row r="158" spans="1:22" ht="15.75" customHeight="1">
      <c r="A158" s="27"/>
      <c r="B158" s="28"/>
      <c r="C158" s="34"/>
      <c r="D158" s="28"/>
      <c r="E158" s="34"/>
      <c r="F158" s="28"/>
      <c r="G158" s="34"/>
      <c r="H158" s="28"/>
      <c r="I158" s="34"/>
      <c r="J158" s="28"/>
      <c r="K158" s="34"/>
      <c r="L158" s="28"/>
      <c r="M158" s="34"/>
      <c r="N158" s="28"/>
      <c r="O158" s="34"/>
      <c r="P158" s="28"/>
      <c r="Q158" s="34"/>
      <c r="R158" s="28"/>
      <c r="S158" s="33"/>
      <c r="T158" s="33"/>
      <c r="U158" s="33"/>
      <c r="V158" s="33"/>
    </row>
    <row r="159" spans="1:22" ht="15.75" customHeight="1">
      <c r="A159" s="27"/>
      <c r="B159" s="28"/>
      <c r="C159" s="34"/>
      <c r="D159" s="28"/>
      <c r="E159" s="34"/>
      <c r="F159" s="28"/>
      <c r="G159" s="34"/>
      <c r="H159" s="28"/>
      <c r="I159" s="34"/>
      <c r="J159" s="28"/>
      <c r="K159" s="34"/>
      <c r="L159" s="28"/>
      <c r="M159" s="34"/>
      <c r="N159" s="28"/>
      <c r="O159" s="34"/>
      <c r="P159" s="28"/>
      <c r="Q159" s="34"/>
      <c r="R159" s="28"/>
      <c r="S159" s="33"/>
      <c r="T159" s="33"/>
      <c r="U159" s="33"/>
      <c r="V159" s="33"/>
    </row>
    <row r="160" spans="1:22" ht="15.75" customHeight="1">
      <c r="A160" s="27"/>
      <c r="B160" s="28"/>
      <c r="C160" s="34"/>
      <c r="D160" s="28"/>
      <c r="E160" s="34"/>
      <c r="F160" s="28"/>
      <c r="G160" s="34"/>
      <c r="H160" s="28"/>
      <c r="I160" s="34"/>
      <c r="J160" s="28"/>
      <c r="K160" s="34"/>
      <c r="L160" s="28"/>
      <c r="M160" s="34"/>
      <c r="N160" s="28"/>
      <c r="O160" s="34"/>
      <c r="P160" s="28"/>
      <c r="Q160" s="34"/>
      <c r="R160" s="28"/>
      <c r="S160" s="33"/>
      <c r="T160" s="33"/>
      <c r="U160" s="33"/>
      <c r="V160" s="33"/>
    </row>
    <row r="161" spans="1:22" ht="15.75" customHeight="1">
      <c r="A161" s="27"/>
      <c r="B161" s="28"/>
      <c r="C161" s="34"/>
      <c r="D161" s="28"/>
      <c r="E161" s="34"/>
      <c r="F161" s="28"/>
      <c r="G161" s="34"/>
      <c r="H161" s="28"/>
      <c r="I161" s="34"/>
      <c r="J161" s="28"/>
      <c r="K161" s="34"/>
      <c r="L161" s="28"/>
      <c r="M161" s="34"/>
      <c r="N161" s="28"/>
      <c r="O161" s="34"/>
      <c r="P161" s="28"/>
      <c r="Q161" s="34"/>
      <c r="R161" s="28"/>
      <c r="S161" s="33"/>
      <c r="T161" s="33"/>
      <c r="U161" s="33"/>
      <c r="V161" s="33"/>
    </row>
    <row r="162" spans="1:22" ht="15.75" customHeight="1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33"/>
      <c r="T162" s="33"/>
      <c r="U162" s="33"/>
      <c r="V162" s="33"/>
    </row>
    <row r="163" spans="1:22" ht="15.75" customHeight="1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33"/>
      <c r="T163" s="33"/>
      <c r="U163" s="33"/>
      <c r="V163" s="33"/>
    </row>
    <row r="164" spans="1:22" ht="15.75" customHeight="1">
      <c r="A164" s="185"/>
      <c r="B164" s="182"/>
      <c r="C164" s="182"/>
      <c r="D164" s="182"/>
      <c r="E164" s="182"/>
      <c r="F164" s="182"/>
      <c r="G164" s="182"/>
      <c r="H164" s="182"/>
      <c r="I164" s="182"/>
      <c r="J164" s="182"/>
      <c r="K164" s="182"/>
      <c r="L164" s="182"/>
      <c r="M164" s="182"/>
      <c r="N164" s="182"/>
      <c r="O164" s="182"/>
      <c r="P164" s="182"/>
      <c r="Q164" s="182"/>
      <c r="R164" s="28"/>
      <c r="S164" s="33"/>
      <c r="T164" s="33"/>
      <c r="U164" s="33"/>
      <c r="V164" s="33"/>
    </row>
    <row r="165" spans="1:22" ht="15.75" customHeight="1">
      <c r="A165" s="28"/>
      <c r="B165" s="186"/>
      <c r="C165" s="182"/>
      <c r="D165" s="182"/>
      <c r="E165" s="182"/>
      <c r="F165" s="182"/>
      <c r="G165" s="182"/>
      <c r="H165" s="182"/>
      <c r="I165" s="182"/>
      <c r="J165" s="182"/>
      <c r="K165" s="182"/>
      <c r="L165" s="182"/>
      <c r="M165" s="182"/>
      <c r="N165" s="182"/>
      <c r="O165" s="182"/>
      <c r="P165" s="182"/>
      <c r="Q165" s="182"/>
      <c r="R165" s="28"/>
      <c r="S165" s="33"/>
      <c r="T165" s="33"/>
      <c r="U165" s="33"/>
      <c r="V165" s="33"/>
    </row>
    <row r="166" spans="1:22" ht="15.75" customHeight="1">
      <c r="A166" s="28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8"/>
      <c r="S166" s="33"/>
      <c r="T166" s="33"/>
      <c r="U166" s="33"/>
      <c r="V166" s="33"/>
    </row>
    <row r="167" spans="1:22" ht="15.75" customHeight="1">
      <c r="A167" s="27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33"/>
      <c r="T167" s="33"/>
      <c r="U167" s="33"/>
      <c r="V167" s="33"/>
    </row>
    <row r="168" spans="1:22" ht="15.75" customHeight="1">
      <c r="A168" s="27"/>
      <c r="B168" s="28"/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28"/>
      <c r="S168" s="33"/>
      <c r="T168" s="33"/>
      <c r="U168" s="33"/>
      <c r="V168" s="33"/>
    </row>
    <row r="169" spans="1:22" ht="15.75" customHeight="1">
      <c r="A169" s="27"/>
      <c r="B169" s="28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28"/>
      <c r="S169" s="33"/>
      <c r="T169" s="33"/>
      <c r="U169" s="33"/>
      <c r="V169" s="33"/>
    </row>
    <row r="170" spans="1:22" ht="15.75" customHeight="1">
      <c r="A170" s="27"/>
      <c r="B170" s="28"/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28"/>
      <c r="S170" s="33"/>
      <c r="T170" s="33"/>
      <c r="U170" s="33"/>
      <c r="V170" s="33"/>
    </row>
    <row r="171" spans="1:22" ht="15.75" customHeight="1">
      <c r="A171" s="27"/>
      <c r="B171" s="28"/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28"/>
      <c r="S171" s="33"/>
      <c r="T171" s="33"/>
      <c r="U171" s="33"/>
      <c r="V171" s="33"/>
    </row>
    <row r="172" spans="1:22" ht="15.75" customHeight="1">
      <c r="A172" s="27"/>
      <c r="B172" s="28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28"/>
      <c r="S172" s="33"/>
      <c r="T172" s="33"/>
      <c r="U172" s="33"/>
      <c r="V172" s="33"/>
    </row>
    <row r="173" spans="1:22" ht="15.75" customHeight="1">
      <c r="A173" s="27"/>
      <c r="B173" s="28"/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28"/>
      <c r="S173" s="33"/>
      <c r="T173" s="33"/>
      <c r="U173" s="33"/>
      <c r="V173" s="33"/>
    </row>
    <row r="174" spans="1:22" ht="15.75" customHeight="1">
      <c r="A174" s="27"/>
      <c r="B174" s="28"/>
      <c r="C174" s="34"/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28"/>
      <c r="S174" s="33"/>
      <c r="T174" s="33"/>
      <c r="U174" s="33"/>
      <c r="V174" s="33"/>
    </row>
    <row r="175" spans="1:22" ht="15.75" customHeight="1">
      <c r="A175" s="27"/>
      <c r="B175" s="28"/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28"/>
      <c r="S175" s="33"/>
      <c r="T175" s="33"/>
      <c r="U175" s="33"/>
      <c r="V175" s="33"/>
    </row>
    <row r="176" spans="1:22" ht="15.75" customHeight="1">
      <c r="A176" s="27"/>
      <c r="B176" s="28"/>
      <c r="C176" s="34"/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28"/>
      <c r="S176" s="33"/>
      <c r="T176" s="33"/>
      <c r="U176" s="33"/>
      <c r="V176" s="33"/>
    </row>
    <row r="177" spans="1:22" ht="15.75" customHeight="1">
      <c r="A177" s="27"/>
      <c r="B177" s="28"/>
      <c r="C177" s="34"/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28"/>
      <c r="S177" s="33"/>
      <c r="T177" s="33"/>
      <c r="U177" s="33"/>
      <c r="V177" s="33"/>
    </row>
    <row r="178" spans="1:22" ht="15.75" customHeight="1">
      <c r="A178" s="27"/>
      <c r="B178" s="28"/>
      <c r="C178" s="34"/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28"/>
      <c r="S178" s="33"/>
      <c r="T178" s="33"/>
      <c r="U178" s="33"/>
      <c r="V178" s="33"/>
    </row>
    <row r="179" spans="1:22" ht="15.75" customHeight="1">
      <c r="A179" s="27"/>
      <c r="B179" s="28"/>
      <c r="C179" s="34"/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28"/>
      <c r="S179" s="33"/>
      <c r="T179" s="33"/>
      <c r="U179" s="33"/>
      <c r="V179" s="33"/>
    </row>
    <row r="180" spans="1:22" ht="15.75" customHeight="1">
      <c r="A180" s="27"/>
      <c r="B180" s="28"/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28"/>
      <c r="S180" s="33"/>
      <c r="T180" s="33"/>
      <c r="U180" s="33"/>
      <c r="V180" s="33"/>
    </row>
    <row r="181" spans="1:22" ht="15.75" customHeight="1">
      <c r="A181" s="27"/>
      <c r="B181" s="28"/>
      <c r="C181" s="34"/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28"/>
      <c r="S181" s="33"/>
      <c r="T181" s="33"/>
      <c r="U181" s="33"/>
      <c r="V181" s="33"/>
    </row>
    <row r="182" spans="1:22" ht="15.75" customHeight="1">
      <c r="A182" s="27"/>
      <c r="B182" s="28"/>
      <c r="C182" s="34"/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28"/>
      <c r="S182" s="33"/>
      <c r="T182" s="33"/>
      <c r="U182" s="33"/>
      <c r="V182" s="33"/>
    </row>
    <row r="183" spans="1:22" ht="15.75" customHeight="1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33"/>
      <c r="T183" s="33"/>
      <c r="U183" s="33"/>
      <c r="V183" s="33"/>
    </row>
    <row r="184" spans="1:22" ht="15.75" customHeight="1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33"/>
      <c r="T184" s="33"/>
      <c r="U184" s="33"/>
      <c r="V184" s="33"/>
    </row>
    <row r="185" spans="1:22" ht="15.75" customHeight="1">
      <c r="A185" s="36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33"/>
      <c r="T185" s="33"/>
      <c r="U185" s="33"/>
      <c r="V185" s="33"/>
    </row>
    <row r="186" spans="1:22" ht="15.75" customHeight="1">
      <c r="A186" s="37"/>
      <c r="B186" s="38"/>
      <c r="C186" s="3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33"/>
      <c r="T186" s="33"/>
      <c r="U186" s="33"/>
      <c r="V186" s="33"/>
    </row>
    <row r="187" spans="1:22" ht="15.75" customHeight="1">
      <c r="A187" s="37"/>
      <c r="B187" s="39"/>
      <c r="C187" s="39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33"/>
      <c r="T187" s="33"/>
      <c r="U187" s="33"/>
      <c r="V187" s="33"/>
    </row>
    <row r="188" spans="1:22" ht="15.75" customHeight="1">
      <c r="A188" s="38"/>
      <c r="B188" s="39"/>
      <c r="C188" s="39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33"/>
      <c r="T188" s="33"/>
      <c r="U188" s="33"/>
      <c r="V188" s="33"/>
    </row>
    <row r="189" spans="1:22" ht="15.75" customHeight="1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33"/>
      <c r="T189" s="33"/>
      <c r="U189" s="33"/>
      <c r="V189" s="33"/>
    </row>
    <row r="190" spans="1:22" ht="15.75" customHeight="1">
      <c r="A190" s="185"/>
      <c r="B190" s="182"/>
      <c r="C190" s="182"/>
      <c r="D190" s="182"/>
      <c r="E190" s="182"/>
      <c r="F190" s="182"/>
      <c r="G190" s="182"/>
      <c r="H190" s="182"/>
      <c r="I190" s="182"/>
      <c r="J190" s="182"/>
      <c r="K190" s="182"/>
      <c r="L190" s="182"/>
      <c r="M190" s="182"/>
      <c r="N190" s="182"/>
      <c r="O190" s="182"/>
      <c r="P190" s="182"/>
      <c r="Q190" s="182"/>
      <c r="R190" s="28"/>
      <c r="S190" s="33"/>
      <c r="T190" s="33"/>
      <c r="U190" s="33"/>
      <c r="V190" s="33"/>
    </row>
    <row r="191" spans="1:22" ht="15.75" customHeight="1">
      <c r="A191" s="28"/>
      <c r="B191" s="27"/>
      <c r="C191" s="186"/>
      <c r="D191" s="182"/>
      <c r="E191" s="182"/>
      <c r="F191" s="182"/>
      <c r="G191" s="186"/>
      <c r="H191" s="182"/>
      <c r="I191" s="182"/>
      <c r="J191" s="182"/>
      <c r="K191" s="182"/>
      <c r="L191" s="186"/>
      <c r="M191" s="182"/>
      <c r="N191" s="182"/>
      <c r="O191" s="182"/>
      <c r="P191" s="182"/>
      <c r="Q191" s="27"/>
      <c r="R191" s="28"/>
      <c r="S191" s="33"/>
      <c r="T191" s="33"/>
      <c r="U191" s="33"/>
      <c r="V191" s="33"/>
    </row>
    <row r="192" spans="1:22" ht="15.75" customHeight="1">
      <c r="A192" s="27"/>
      <c r="B192" s="28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8"/>
      <c r="R192" s="28"/>
      <c r="S192" s="33"/>
      <c r="T192" s="33"/>
      <c r="U192" s="33"/>
      <c r="V192" s="33"/>
    </row>
    <row r="193" spans="1:22" ht="15.75" customHeight="1">
      <c r="A193" s="27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33"/>
      <c r="T193" s="33"/>
      <c r="U193" s="33"/>
      <c r="V193" s="33"/>
    </row>
    <row r="194" spans="1:22" ht="15.75" customHeight="1">
      <c r="A194" s="27"/>
      <c r="B194" s="28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28"/>
      <c r="R194" s="28"/>
      <c r="S194" s="33"/>
      <c r="T194" s="33"/>
      <c r="U194" s="33"/>
      <c r="V194" s="33"/>
    </row>
    <row r="195" spans="1:22" ht="15.75" customHeight="1">
      <c r="A195" s="27"/>
      <c r="B195" s="28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28"/>
      <c r="R195" s="28"/>
      <c r="S195" s="33"/>
      <c r="T195" s="33"/>
      <c r="U195" s="33"/>
      <c r="V195" s="33"/>
    </row>
    <row r="196" spans="1:22" ht="15.75" customHeight="1">
      <c r="A196" s="27"/>
      <c r="B196" s="28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28"/>
      <c r="R196" s="28"/>
      <c r="S196" s="33"/>
      <c r="T196" s="33"/>
      <c r="U196" s="33"/>
      <c r="V196" s="33"/>
    </row>
    <row r="197" spans="1:22" ht="15.75" customHeight="1">
      <c r="A197" s="27"/>
      <c r="B197" s="28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28"/>
      <c r="R197" s="28"/>
      <c r="S197" s="33"/>
      <c r="T197" s="33"/>
      <c r="U197" s="33"/>
      <c r="V197" s="33"/>
    </row>
    <row r="198" spans="1:22" ht="15.75" customHeight="1">
      <c r="A198" s="27"/>
      <c r="B198" s="28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28"/>
      <c r="R198" s="28"/>
      <c r="S198" s="33"/>
      <c r="T198" s="33"/>
      <c r="U198" s="33"/>
      <c r="V198" s="33"/>
    </row>
    <row r="199" spans="1:22" ht="15.75" customHeight="1">
      <c r="A199" s="27"/>
      <c r="B199" s="28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28"/>
      <c r="R199" s="28"/>
      <c r="S199" s="33"/>
      <c r="T199" s="33"/>
      <c r="U199" s="33"/>
      <c r="V199" s="33"/>
    </row>
    <row r="200" spans="1:22" ht="15.75" customHeight="1">
      <c r="A200" s="27"/>
      <c r="B200" s="28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28"/>
      <c r="R200" s="28"/>
      <c r="S200" s="33"/>
      <c r="T200" s="33"/>
      <c r="U200" s="33"/>
      <c r="V200" s="33"/>
    </row>
    <row r="201" spans="1:22" ht="15.75" customHeight="1">
      <c r="A201" s="27"/>
      <c r="B201" s="28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28"/>
      <c r="R201" s="28"/>
      <c r="S201" s="33"/>
      <c r="T201" s="33"/>
      <c r="U201" s="33"/>
      <c r="V201" s="33"/>
    </row>
    <row r="202" spans="1:22" ht="15.75" customHeight="1">
      <c r="A202" s="27"/>
      <c r="B202" s="28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28"/>
      <c r="R202" s="28"/>
      <c r="S202" s="33"/>
      <c r="T202" s="33"/>
      <c r="U202" s="33"/>
      <c r="V202" s="33"/>
    </row>
    <row r="203" spans="1:22" ht="15.75" customHeight="1">
      <c r="A203" s="27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33"/>
      <c r="T203" s="33"/>
      <c r="U203" s="33"/>
      <c r="V203" s="33"/>
    </row>
    <row r="204" spans="1:22" ht="15.75" customHeight="1">
      <c r="A204" s="27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33"/>
      <c r="T204" s="33"/>
      <c r="U204" s="33"/>
      <c r="V204" s="33"/>
    </row>
    <row r="205" spans="1:22" ht="15.75" customHeight="1">
      <c r="A205" s="27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33"/>
      <c r="T205" s="33"/>
      <c r="U205" s="33"/>
      <c r="V205" s="33"/>
    </row>
    <row r="206" spans="1:22" ht="15.75" customHeight="1">
      <c r="A206" s="27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33"/>
      <c r="T206" s="33"/>
      <c r="U206" s="33"/>
      <c r="V206" s="33"/>
    </row>
    <row r="207" spans="1:22" ht="15.75" customHeight="1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33"/>
      <c r="T207" s="33"/>
      <c r="U207" s="33"/>
      <c r="V207" s="33"/>
    </row>
    <row r="208" spans="1:22" ht="15.75" customHeight="1">
      <c r="A208" s="185"/>
      <c r="B208" s="182"/>
      <c r="C208" s="182"/>
      <c r="D208" s="182"/>
      <c r="E208" s="182"/>
      <c r="F208" s="182"/>
      <c r="G208" s="182"/>
      <c r="H208" s="182"/>
      <c r="I208" s="182"/>
      <c r="J208" s="182"/>
      <c r="K208" s="182"/>
      <c r="L208" s="182"/>
      <c r="M208" s="182"/>
      <c r="N208" s="182"/>
      <c r="O208" s="182"/>
      <c r="P208" s="182"/>
      <c r="Q208" s="182"/>
      <c r="R208" s="28"/>
      <c r="S208" s="33"/>
      <c r="T208" s="33"/>
      <c r="U208" s="33"/>
      <c r="V208" s="33"/>
    </row>
    <row r="209" spans="1:22" ht="15.75" customHeight="1">
      <c r="A209" s="28"/>
      <c r="B209" s="27"/>
      <c r="C209" s="186"/>
      <c r="D209" s="182"/>
      <c r="E209" s="182"/>
      <c r="F209" s="182"/>
      <c r="G209" s="186"/>
      <c r="H209" s="182"/>
      <c r="I209" s="182"/>
      <c r="J209" s="182"/>
      <c r="K209" s="182"/>
      <c r="L209" s="186"/>
      <c r="M209" s="182"/>
      <c r="N209" s="182"/>
      <c r="O209" s="182"/>
      <c r="P209" s="182"/>
      <c r="Q209" s="27"/>
      <c r="R209" s="28"/>
      <c r="S209" s="33"/>
      <c r="T209" s="33"/>
      <c r="U209" s="33"/>
      <c r="V209" s="33"/>
    </row>
    <row r="210" spans="1:22" ht="15.75" customHeight="1">
      <c r="A210" s="27"/>
      <c r="B210" s="28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8"/>
      <c r="R210" s="28"/>
      <c r="S210" s="33"/>
      <c r="T210" s="33"/>
      <c r="U210" s="33"/>
      <c r="V210" s="33"/>
    </row>
    <row r="211" spans="1:22" ht="15.75" customHeight="1">
      <c r="A211" s="27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33"/>
      <c r="T211" s="33"/>
      <c r="U211" s="33"/>
      <c r="V211" s="33"/>
    </row>
    <row r="212" spans="1:22" ht="15.75" customHeight="1">
      <c r="A212" s="27"/>
      <c r="B212" s="28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28"/>
      <c r="R212" s="28"/>
      <c r="S212" s="33"/>
      <c r="T212" s="33"/>
      <c r="U212" s="33"/>
      <c r="V212" s="33"/>
    </row>
    <row r="213" spans="1:22" ht="15.75" customHeight="1">
      <c r="A213" s="27"/>
      <c r="B213" s="28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28"/>
      <c r="R213" s="28"/>
      <c r="S213" s="33"/>
      <c r="T213" s="33"/>
      <c r="U213" s="33"/>
      <c r="V213" s="33"/>
    </row>
    <row r="214" spans="1:22" ht="15.75" customHeight="1">
      <c r="A214" s="27"/>
      <c r="B214" s="28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28"/>
      <c r="R214" s="28"/>
      <c r="S214" s="33"/>
      <c r="T214" s="33"/>
      <c r="U214" s="33"/>
      <c r="V214" s="33"/>
    </row>
    <row r="215" spans="1:22" ht="15.75" customHeight="1">
      <c r="A215" s="27"/>
      <c r="B215" s="28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28"/>
      <c r="R215" s="28"/>
      <c r="S215" s="33"/>
      <c r="T215" s="33"/>
      <c r="U215" s="33"/>
      <c r="V215" s="33"/>
    </row>
    <row r="216" spans="1:22" ht="15.75" customHeight="1">
      <c r="A216" s="27"/>
      <c r="B216" s="28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28"/>
      <c r="R216" s="28"/>
      <c r="S216" s="33"/>
      <c r="T216" s="33"/>
      <c r="U216" s="33"/>
      <c r="V216" s="33"/>
    </row>
    <row r="217" spans="1:22" ht="15.75" customHeight="1">
      <c r="A217" s="27"/>
      <c r="B217" s="28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28"/>
      <c r="R217" s="28"/>
      <c r="S217" s="33"/>
      <c r="T217" s="33"/>
      <c r="U217" s="33"/>
      <c r="V217" s="33"/>
    </row>
    <row r="218" spans="1:22" ht="15.75" customHeight="1">
      <c r="A218" s="27"/>
      <c r="B218" s="28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28"/>
      <c r="R218" s="28"/>
      <c r="S218" s="33"/>
      <c r="T218" s="33"/>
      <c r="U218" s="33"/>
      <c r="V218" s="33"/>
    </row>
    <row r="219" spans="1:22" ht="15.75" customHeight="1">
      <c r="A219" s="27"/>
      <c r="B219" s="28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28"/>
      <c r="R219" s="28"/>
      <c r="S219" s="33"/>
      <c r="T219" s="33"/>
      <c r="U219" s="33"/>
      <c r="V219" s="33"/>
    </row>
    <row r="220" spans="1:22" ht="15.75" customHeight="1">
      <c r="A220" s="27"/>
      <c r="B220" s="28"/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28"/>
      <c r="R220" s="28"/>
      <c r="S220" s="33"/>
      <c r="T220" s="33"/>
      <c r="U220" s="33"/>
      <c r="V220" s="33"/>
    </row>
    <row r="221" spans="1:22" ht="15.75" customHeight="1">
      <c r="A221" s="33"/>
      <c r="B221" s="33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</row>
    <row r="222" spans="1:22" ht="15.75" customHeight="1">
      <c r="A222" s="33"/>
      <c r="B222" s="33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</row>
    <row r="223" spans="1:22" ht="15.75" customHeight="1">
      <c r="A223" s="187"/>
      <c r="B223" s="182"/>
      <c r="C223" s="187"/>
      <c r="D223" s="182"/>
      <c r="E223" s="182"/>
      <c r="F223" s="182"/>
      <c r="G223" s="182"/>
      <c r="H223" s="40"/>
      <c r="I223" s="40"/>
      <c r="J223" s="187"/>
      <c r="K223" s="182"/>
      <c r="L223" s="188"/>
      <c r="M223" s="182"/>
      <c r="N223" s="182"/>
      <c r="O223" s="182"/>
      <c r="P223" s="182"/>
      <c r="Q223" s="182"/>
      <c r="R223" s="40"/>
      <c r="S223" s="40"/>
      <c r="T223" s="40"/>
      <c r="U223" s="40"/>
      <c r="V223" s="33"/>
    </row>
    <row r="224" spans="1:22" ht="15.75" customHeight="1">
      <c r="A224" s="40"/>
      <c r="B224" s="40"/>
      <c r="C224" s="40"/>
      <c r="D224" s="40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33"/>
    </row>
    <row r="225" spans="1:22" ht="15.75" customHeight="1">
      <c r="A225" s="189"/>
      <c r="B225" s="189"/>
      <c r="C225" s="191"/>
      <c r="D225" s="191"/>
      <c r="E225" s="191"/>
      <c r="F225" s="191"/>
      <c r="G225" s="189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33"/>
    </row>
    <row r="226" spans="1:22" ht="15.75" customHeight="1">
      <c r="A226" s="182"/>
      <c r="B226" s="182"/>
      <c r="C226" s="182"/>
      <c r="D226" s="182"/>
      <c r="E226" s="182"/>
      <c r="F226" s="182"/>
      <c r="G226" s="182"/>
      <c r="H226" s="40"/>
      <c r="I226" s="40"/>
      <c r="J226" s="41"/>
      <c r="K226" s="41"/>
      <c r="L226" s="42"/>
      <c r="M226" s="41"/>
      <c r="N226" s="41"/>
      <c r="O226" s="41"/>
      <c r="P226" s="41"/>
      <c r="Q226" s="41"/>
      <c r="R226" s="41"/>
      <c r="S226" s="189"/>
      <c r="T226" s="189"/>
      <c r="U226" s="190"/>
      <c r="V226" s="33"/>
    </row>
    <row r="227" spans="1:22" ht="15.75" customHeight="1">
      <c r="A227" s="40"/>
      <c r="B227" s="40"/>
      <c r="C227" s="43"/>
      <c r="D227" s="43"/>
      <c r="E227" s="43"/>
      <c r="F227" s="43"/>
      <c r="G227" s="43"/>
      <c r="H227" s="40"/>
      <c r="I227" s="40"/>
      <c r="J227" s="41"/>
      <c r="K227" s="41"/>
      <c r="L227" s="42"/>
      <c r="M227" s="41"/>
      <c r="N227" s="41"/>
      <c r="O227" s="41"/>
      <c r="P227" s="41"/>
      <c r="Q227" s="41"/>
      <c r="R227" s="41"/>
      <c r="S227" s="182"/>
      <c r="T227" s="182"/>
      <c r="U227" s="182"/>
      <c r="V227" s="33"/>
    </row>
    <row r="228" spans="1:22" ht="15.75" customHeight="1">
      <c r="A228" s="40"/>
      <c r="B228" s="40"/>
      <c r="C228" s="43"/>
      <c r="D228" s="43"/>
      <c r="E228" s="43"/>
      <c r="F228" s="43"/>
      <c r="G228" s="43"/>
      <c r="H228" s="40"/>
      <c r="I228" s="40"/>
      <c r="J228" s="44"/>
      <c r="K228" s="44"/>
      <c r="L228" s="43"/>
      <c r="M228" s="43"/>
      <c r="N228" s="43"/>
      <c r="O228" s="43"/>
      <c r="P228" s="43"/>
      <c r="Q228" s="43"/>
      <c r="R228" s="43"/>
      <c r="S228" s="43"/>
      <c r="T228" s="43"/>
      <c r="U228" s="43"/>
      <c r="V228" s="33"/>
    </row>
    <row r="229" spans="1:22" ht="15.75" customHeight="1"/>
    <row r="230" spans="1:22" ht="15.75" customHeight="1"/>
    <row r="231" spans="1:22" ht="15.75" customHeight="1"/>
    <row r="232" spans="1:22" ht="15.75" customHeight="1"/>
    <row r="233" spans="1:22" ht="15.75" customHeight="1"/>
    <row r="234" spans="1:22" ht="15.75" customHeight="1"/>
    <row r="235" spans="1:22" ht="15.75" customHeight="1"/>
    <row r="236" spans="1:22" ht="15.75" customHeight="1"/>
    <row r="237" spans="1:22" ht="15.75" customHeight="1"/>
    <row r="238" spans="1:22" ht="15.75" customHeight="1"/>
    <row r="239" spans="1:22" ht="15.75" customHeight="1"/>
    <row r="240" spans="1:22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9">
    <mergeCell ref="G225:G226"/>
    <mergeCell ref="S226:S227"/>
    <mergeCell ref="T226:T227"/>
    <mergeCell ref="U226:U227"/>
    <mergeCell ref="A223:B223"/>
    <mergeCell ref="A225:A226"/>
    <mergeCell ref="B225:B226"/>
    <mergeCell ref="C225:C226"/>
    <mergeCell ref="D225:D226"/>
    <mergeCell ref="E225:E226"/>
    <mergeCell ref="F225:F226"/>
    <mergeCell ref="A208:Q208"/>
    <mergeCell ref="C209:F209"/>
    <mergeCell ref="G209:K209"/>
    <mergeCell ref="L209:P209"/>
    <mergeCell ref="C223:G223"/>
    <mergeCell ref="J223:K223"/>
    <mergeCell ref="L223:Q223"/>
    <mergeCell ref="A164:Q164"/>
    <mergeCell ref="B165:Q165"/>
    <mergeCell ref="A190:Q190"/>
    <mergeCell ref="C191:F191"/>
    <mergeCell ref="G191:K191"/>
    <mergeCell ref="L191:P191"/>
    <mergeCell ref="B102:Q102"/>
    <mergeCell ref="A122:Q122"/>
    <mergeCell ref="B123:Q123"/>
    <mergeCell ref="A143:Q143"/>
    <mergeCell ref="B144:Q144"/>
    <mergeCell ref="A60:Q60"/>
    <mergeCell ref="B61:Q61"/>
    <mergeCell ref="A81:Q81"/>
    <mergeCell ref="B82:Q82"/>
    <mergeCell ref="A101:Q101"/>
    <mergeCell ref="A1:J1"/>
    <mergeCell ref="A13:J13"/>
    <mergeCell ref="A22:J22"/>
    <mergeCell ref="A39:Q39"/>
    <mergeCell ref="B40:Q40"/>
  </mergeCells>
  <phoneticPr fontId="37" type="noConversion"/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9900"/>
    <outlinePr summaryBelow="0" summaryRight="0"/>
  </sheetPr>
  <dimension ref="A1:J1000"/>
  <sheetViews>
    <sheetView workbookViewId="0"/>
  </sheetViews>
  <sheetFormatPr defaultColWidth="12.5703125" defaultRowHeight="15" customHeight="1" outlineLevelRow="1"/>
  <cols>
    <col min="1" max="6" width="12.5703125" customWidth="1"/>
  </cols>
  <sheetData>
    <row r="1" spans="1:7" ht="15.75" customHeight="1">
      <c r="A1" s="45" t="s">
        <v>186</v>
      </c>
      <c r="B1" s="45" t="s">
        <v>106</v>
      </c>
      <c r="C1" s="45" t="s">
        <v>187</v>
      </c>
      <c r="D1" s="45" t="s">
        <v>188</v>
      </c>
      <c r="E1" s="45" t="s">
        <v>189</v>
      </c>
      <c r="F1" s="45" t="s">
        <v>190</v>
      </c>
      <c r="G1" s="46" t="s">
        <v>191</v>
      </c>
    </row>
    <row r="2" spans="1:7" ht="15.75" customHeight="1" outlineLevel="1">
      <c r="A2" s="13"/>
      <c r="B2" s="13"/>
      <c r="C2" s="13"/>
      <c r="D2" s="13"/>
      <c r="E2" s="13"/>
      <c r="F2" s="13"/>
    </row>
    <row r="3" spans="1:7" ht="15.75" customHeight="1" outlineLevel="1">
      <c r="A3" s="16">
        <v>1</v>
      </c>
      <c r="B3" s="25"/>
      <c r="C3" s="21">
        <v>4500</v>
      </c>
      <c r="D3" s="21">
        <v>5000</v>
      </c>
      <c r="E3" s="21">
        <v>5500</v>
      </c>
      <c r="F3" s="21">
        <v>6000</v>
      </c>
    </row>
    <row r="4" spans="1:7" ht="15.75" customHeight="1" outlineLevel="1">
      <c r="A4" s="16">
        <v>2</v>
      </c>
      <c r="B4" s="25"/>
      <c r="C4" s="21">
        <v>4000</v>
      </c>
      <c r="D4" s="21">
        <v>4500</v>
      </c>
      <c r="E4" s="21">
        <v>5000</v>
      </c>
      <c r="F4" s="21">
        <v>5600</v>
      </c>
    </row>
    <row r="5" spans="1:7" ht="15.75" customHeight="1" outlineLevel="1">
      <c r="A5" s="16">
        <v>3</v>
      </c>
      <c r="B5" s="25"/>
      <c r="C5" s="21">
        <v>3500</v>
      </c>
      <c r="D5" s="21">
        <v>4000</v>
      </c>
      <c r="E5" s="21">
        <v>4500</v>
      </c>
      <c r="F5" s="21">
        <v>5100</v>
      </c>
    </row>
    <row r="6" spans="1:7" ht="15.75" customHeight="1" outlineLevel="1">
      <c r="A6" s="16">
        <v>4</v>
      </c>
      <c r="B6" s="25"/>
      <c r="C6" s="21">
        <v>3000</v>
      </c>
      <c r="D6" s="21">
        <v>3500</v>
      </c>
      <c r="E6" s="21">
        <v>4000</v>
      </c>
      <c r="F6" s="21">
        <v>4600</v>
      </c>
    </row>
    <row r="7" spans="1:7" ht="15.75" customHeight="1" outlineLevel="1">
      <c r="A7" s="16">
        <v>5</v>
      </c>
      <c r="B7" s="25"/>
      <c r="C7" s="21">
        <v>2500</v>
      </c>
      <c r="D7" s="21">
        <v>3000</v>
      </c>
      <c r="E7" s="21">
        <v>3500</v>
      </c>
      <c r="F7" s="21">
        <v>4000</v>
      </c>
    </row>
    <row r="8" spans="1:7" ht="15.75" customHeight="1" outlineLevel="1">
      <c r="A8" s="16">
        <v>6</v>
      </c>
      <c r="B8" s="25"/>
      <c r="C8" s="21">
        <v>2000</v>
      </c>
      <c r="D8" s="21">
        <v>2500</v>
      </c>
      <c r="E8" s="21">
        <v>3000</v>
      </c>
      <c r="F8" s="21">
        <v>3500</v>
      </c>
    </row>
    <row r="9" spans="1:7" ht="15.75" customHeight="1" outlineLevel="1">
      <c r="A9" s="16">
        <v>7</v>
      </c>
      <c r="B9" s="25"/>
      <c r="C9" s="21">
        <v>1500</v>
      </c>
      <c r="D9" s="21">
        <v>2000</v>
      </c>
      <c r="E9" s="21">
        <v>2500</v>
      </c>
      <c r="F9" s="21">
        <v>3000</v>
      </c>
    </row>
    <row r="10" spans="1:7" ht="15.75" customHeight="1" outlineLevel="1">
      <c r="A10" s="16">
        <v>8</v>
      </c>
      <c r="B10" s="25"/>
      <c r="C10" s="21">
        <v>1000</v>
      </c>
      <c r="D10" s="21">
        <v>1500</v>
      </c>
      <c r="E10" s="21">
        <v>2000</v>
      </c>
      <c r="F10" s="21">
        <v>2500</v>
      </c>
    </row>
    <row r="11" spans="1:7" ht="15.75" customHeight="1" outlineLevel="1">
      <c r="A11" s="16">
        <v>9</v>
      </c>
      <c r="B11" s="25"/>
      <c r="C11" s="21">
        <v>800</v>
      </c>
      <c r="D11" s="21">
        <v>1000</v>
      </c>
      <c r="E11" s="21">
        <v>1500</v>
      </c>
      <c r="F11" s="21">
        <v>2000</v>
      </c>
    </row>
    <row r="12" spans="1:7" ht="15.75" customHeight="1" outlineLevel="1">
      <c r="A12" s="16">
        <v>10</v>
      </c>
      <c r="B12" s="25"/>
      <c r="C12" s="21">
        <v>500</v>
      </c>
      <c r="D12" s="21">
        <v>800</v>
      </c>
      <c r="E12" s="21">
        <v>1000</v>
      </c>
      <c r="F12" s="21">
        <v>1500</v>
      </c>
    </row>
    <row r="13" spans="1:7" ht="15.75" customHeight="1" outlineLevel="1">
      <c r="A13" s="16">
        <v>15</v>
      </c>
      <c r="B13" s="25"/>
      <c r="C13" s="21">
        <v>470</v>
      </c>
      <c r="D13" s="21">
        <v>750</v>
      </c>
      <c r="E13" s="21">
        <v>930</v>
      </c>
      <c r="F13" s="21">
        <v>1375</v>
      </c>
    </row>
    <row r="14" spans="1:7" ht="15.75" customHeight="1" outlineLevel="1">
      <c r="A14" s="16">
        <v>20</v>
      </c>
      <c r="B14" s="25"/>
      <c r="C14" s="21">
        <v>440</v>
      </c>
      <c r="D14" s="21">
        <v>700</v>
      </c>
      <c r="E14" s="21">
        <v>860</v>
      </c>
      <c r="F14" s="21">
        <v>1250</v>
      </c>
    </row>
    <row r="15" spans="1:7" ht="15.75" customHeight="1" outlineLevel="1">
      <c r="A15" s="16">
        <v>25</v>
      </c>
      <c r="B15" s="25"/>
      <c r="C15" s="21">
        <v>410</v>
      </c>
      <c r="D15" s="21">
        <v>650</v>
      </c>
      <c r="E15" s="21">
        <v>790</v>
      </c>
      <c r="F15" s="21">
        <v>1125</v>
      </c>
    </row>
    <row r="16" spans="1:7" ht="15.75" customHeight="1" outlineLevel="1">
      <c r="A16" s="16">
        <v>30</v>
      </c>
      <c r="B16" s="25"/>
      <c r="C16" s="21">
        <v>380</v>
      </c>
      <c r="D16" s="21">
        <v>600</v>
      </c>
      <c r="E16" s="21">
        <v>720</v>
      </c>
      <c r="F16" s="21">
        <v>1000</v>
      </c>
    </row>
    <row r="17" spans="1:6" ht="15.75" customHeight="1" outlineLevel="1">
      <c r="A17" s="16">
        <v>35</v>
      </c>
      <c r="B17" s="25"/>
      <c r="C17" s="21">
        <v>350</v>
      </c>
      <c r="D17" s="21">
        <v>550</v>
      </c>
      <c r="E17" s="21">
        <v>650</v>
      </c>
      <c r="F17" s="21">
        <v>875</v>
      </c>
    </row>
    <row r="18" spans="1:6" ht="15.75" customHeight="1" outlineLevel="1">
      <c r="A18" s="16">
        <v>40</v>
      </c>
      <c r="B18" s="25"/>
      <c r="C18" s="21">
        <v>320</v>
      </c>
      <c r="D18" s="21">
        <v>500</v>
      </c>
      <c r="E18" s="21">
        <v>580</v>
      </c>
      <c r="F18" s="21">
        <v>750</v>
      </c>
    </row>
    <row r="19" spans="1:6" ht="15.75" customHeight="1" outlineLevel="1">
      <c r="A19" s="16">
        <v>45</v>
      </c>
      <c r="B19" s="25"/>
      <c r="C19" s="21">
        <v>290</v>
      </c>
      <c r="D19" s="21">
        <v>450</v>
      </c>
      <c r="E19" s="21">
        <v>510</v>
      </c>
      <c r="F19" s="21">
        <v>625</v>
      </c>
    </row>
    <row r="20" spans="1:6" ht="15.75" customHeight="1" outlineLevel="1">
      <c r="A20" s="16">
        <v>50</v>
      </c>
      <c r="B20" s="25"/>
      <c r="C20" s="21">
        <v>260</v>
      </c>
      <c r="D20" s="21">
        <v>400</v>
      </c>
      <c r="E20" s="21">
        <v>450</v>
      </c>
      <c r="F20" s="21">
        <v>500</v>
      </c>
    </row>
    <row r="21" spans="1:6" ht="15.75" customHeight="1" outlineLevel="1">
      <c r="A21" s="16">
        <v>60</v>
      </c>
      <c r="B21" s="25"/>
      <c r="C21" s="21">
        <v>230</v>
      </c>
      <c r="D21" s="21">
        <v>350</v>
      </c>
      <c r="E21" s="21">
        <v>410</v>
      </c>
      <c r="F21" s="21">
        <v>460</v>
      </c>
    </row>
    <row r="22" spans="1:6" ht="15.75" customHeight="1" outlineLevel="1">
      <c r="A22" s="16">
        <v>70</v>
      </c>
      <c r="B22" s="25"/>
      <c r="C22" s="21">
        <v>200</v>
      </c>
      <c r="D22" s="21">
        <v>250</v>
      </c>
      <c r="E22" s="21">
        <v>370</v>
      </c>
      <c r="F22" s="21">
        <v>420</v>
      </c>
    </row>
    <row r="23" spans="1:6" ht="15.75" customHeight="1" outlineLevel="1">
      <c r="A23" s="16">
        <v>80</v>
      </c>
      <c r="B23" s="25"/>
      <c r="C23" s="21">
        <v>200</v>
      </c>
      <c r="D23" s="21">
        <v>240</v>
      </c>
      <c r="E23" s="21">
        <v>330</v>
      </c>
      <c r="F23" s="21">
        <v>380</v>
      </c>
    </row>
    <row r="24" spans="1:6" ht="15.75" customHeight="1" outlineLevel="1">
      <c r="A24" s="16">
        <v>90</v>
      </c>
      <c r="B24" s="25"/>
      <c r="C24" s="21">
        <v>200</v>
      </c>
      <c r="D24" s="21">
        <v>230</v>
      </c>
      <c r="E24" s="21">
        <v>290</v>
      </c>
      <c r="F24" s="21">
        <v>340</v>
      </c>
    </row>
    <row r="25" spans="1:6" ht="15.75" customHeight="1" outlineLevel="1">
      <c r="A25" s="16">
        <v>100</v>
      </c>
      <c r="B25" s="25"/>
      <c r="C25" s="21">
        <v>200</v>
      </c>
      <c r="D25" s="21">
        <v>220</v>
      </c>
      <c r="E25" s="21">
        <v>250</v>
      </c>
      <c r="F25" s="21">
        <v>300</v>
      </c>
    </row>
    <row r="26" spans="1:6" ht="15.75" customHeight="1" outlineLevel="1">
      <c r="A26" s="16">
        <v>150</v>
      </c>
      <c r="B26" s="25"/>
      <c r="C26" s="21">
        <v>150</v>
      </c>
      <c r="D26" s="21">
        <v>170</v>
      </c>
      <c r="E26" s="21">
        <v>234</v>
      </c>
      <c r="F26" s="21">
        <v>281</v>
      </c>
    </row>
    <row r="27" spans="1:6" ht="15.75" customHeight="1" outlineLevel="1">
      <c r="A27" s="16">
        <v>200</v>
      </c>
      <c r="B27" s="25"/>
      <c r="C27" s="21">
        <v>125</v>
      </c>
      <c r="D27" s="21">
        <v>150</v>
      </c>
      <c r="E27" s="21">
        <v>218</v>
      </c>
      <c r="F27" s="21">
        <v>262</v>
      </c>
    </row>
    <row r="28" spans="1:6" ht="15.75" customHeight="1" outlineLevel="1">
      <c r="A28" s="16">
        <v>250</v>
      </c>
      <c r="B28" s="25"/>
      <c r="C28" s="21">
        <v>110</v>
      </c>
      <c r="D28" s="21">
        <v>130</v>
      </c>
      <c r="E28" s="21">
        <v>202</v>
      </c>
      <c r="F28" s="21">
        <v>243</v>
      </c>
    </row>
    <row r="29" spans="1:6" ht="15.75" customHeight="1" outlineLevel="1">
      <c r="A29" s="16">
        <v>300</v>
      </c>
      <c r="B29" s="25"/>
      <c r="C29" s="21">
        <v>90</v>
      </c>
      <c r="D29" s="21">
        <v>110</v>
      </c>
      <c r="E29" s="21">
        <v>186</v>
      </c>
      <c r="F29" s="21">
        <v>224</v>
      </c>
    </row>
    <row r="30" spans="1:6" ht="15.75" customHeight="1" outlineLevel="1">
      <c r="A30" s="16">
        <v>350</v>
      </c>
      <c r="B30" s="25"/>
      <c r="C30" s="21">
        <v>80</v>
      </c>
      <c r="D30" s="21">
        <v>100</v>
      </c>
      <c r="E30" s="21">
        <v>170</v>
      </c>
      <c r="F30" s="21">
        <v>205</v>
      </c>
    </row>
    <row r="31" spans="1:6" ht="15.75" customHeight="1" outlineLevel="1">
      <c r="A31" s="16">
        <v>400</v>
      </c>
      <c r="B31" s="25"/>
      <c r="C31" s="21">
        <v>70</v>
      </c>
      <c r="D31" s="21">
        <v>90</v>
      </c>
      <c r="E31" s="21">
        <v>154</v>
      </c>
      <c r="F31" s="21">
        <v>186</v>
      </c>
    </row>
    <row r="32" spans="1:6" ht="15.75" customHeight="1" outlineLevel="1">
      <c r="A32" s="16">
        <v>450</v>
      </c>
      <c r="B32" s="25"/>
      <c r="C32" s="21">
        <v>67</v>
      </c>
      <c r="D32" s="21">
        <v>85</v>
      </c>
      <c r="E32" s="21">
        <v>138</v>
      </c>
      <c r="F32" s="21">
        <v>167</v>
      </c>
    </row>
    <row r="33" spans="1:6" ht="15.75" customHeight="1" outlineLevel="1">
      <c r="A33" s="16">
        <v>500</v>
      </c>
      <c r="B33" s="25"/>
      <c r="C33" s="21">
        <v>63</v>
      </c>
      <c r="D33" s="21">
        <v>80</v>
      </c>
      <c r="E33" s="21">
        <v>120</v>
      </c>
      <c r="F33" s="21">
        <v>150</v>
      </c>
    </row>
    <row r="34" spans="1:6" ht="15.75" customHeight="1" outlineLevel="1">
      <c r="A34" s="16">
        <v>600</v>
      </c>
      <c r="B34" s="25"/>
      <c r="C34" s="21">
        <v>58</v>
      </c>
      <c r="D34" s="21">
        <v>76</v>
      </c>
      <c r="E34" s="21">
        <v>111</v>
      </c>
      <c r="F34" s="21">
        <v>139</v>
      </c>
    </row>
    <row r="35" spans="1:6" ht="15.75" customHeight="1" outlineLevel="1">
      <c r="A35" s="16">
        <v>700</v>
      </c>
      <c r="B35" s="25"/>
      <c r="C35" s="21">
        <v>53</v>
      </c>
      <c r="D35" s="21">
        <v>72</v>
      </c>
      <c r="E35" s="21">
        <v>102</v>
      </c>
      <c r="F35" s="21">
        <v>128</v>
      </c>
    </row>
    <row r="36" spans="1:6" ht="15.75" customHeight="1" outlineLevel="1">
      <c r="A36" s="16">
        <v>800</v>
      </c>
      <c r="B36" s="25"/>
      <c r="C36" s="21">
        <v>48</v>
      </c>
      <c r="D36" s="21">
        <v>68</v>
      </c>
      <c r="E36" s="21">
        <v>93</v>
      </c>
      <c r="F36" s="21">
        <v>117</v>
      </c>
    </row>
    <row r="37" spans="1:6" ht="15.75" customHeight="1" outlineLevel="1">
      <c r="A37" s="16">
        <v>900</v>
      </c>
      <c r="B37" s="25"/>
      <c r="C37" s="21">
        <v>43</v>
      </c>
      <c r="D37" s="21">
        <v>64</v>
      </c>
      <c r="E37" s="21">
        <v>84</v>
      </c>
      <c r="F37" s="21">
        <v>106</v>
      </c>
    </row>
    <row r="38" spans="1:6" ht="15.75" customHeight="1" outlineLevel="1">
      <c r="A38" s="16">
        <v>1000</v>
      </c>
      <c r="B38" s="25"/>
      <c r="C38" s="21">
        <v>40</v>
      </c>
      <c r="D38" s="21">
        <v>60</v>
      </c>
      <c r="E38" s="21">
        <v>75</v>
      </c>
      <c r="F38" s="21">
        <v>95</v>
      </c>
    </row>
    <row r="39" spans="1:6" ht="15.75" customHeight="1" outlineLevel="1">
      <c r="A39" s="16">
        <v>1200</v>
      </c>
      <c r="B39" s="25"/>
      <c r="C39" s="21">
        <v>39</v>
      </c>
      <c r="D39" s="21">
        <v>58</v>
      </c>
      <c r="E39" s="21">
        <v>73</v>
      </c>
      <c r="F39" s="21">
        <v>93</v>
      </c>
    </row>
    <row r="40" spans="1:6" ht="15.75" customHeight="1" outlineLevel="1">
      <c r="A40" s="16">
        <v>1400</v>
      </c>
      <c r="B40" s="25"/>
      <c r="C40" s="21">
        <v>39</v>
      </c>
      <c r="D40" s="21">
        <v>58</v>
      </c>
      <c r="E40" s="21">
        <v>71</v>
      </c>
      <c r="F40" s="21">
        <v>91</v>
      </c>
    </row>
    <row r="41" spans="1:6" ht="15.75" customHeight="1" outlineLevel="1">
      <c r="A41" s="16">
        <v>1600</v>
      </c>
      <c r="B41" s="25"/>
      <c r="C41" s="21">
        <v>38</v>
      </c>
      <c r="D41" s="21">
        <v>56</v>
      </c>
      <c r="E41" s="21">
        <v>69</v>
      </c>
      <c r="F41" s="21">
        <v>89</v>
      </c>
    </row>
    <row r="42" spans="1:6" ht="15.75" customHeight="1" outlineLevel="1">
      <c r="A42" s="16">
        <v>1800</v>
      </c>
      <c r="B42" s="25"/>
      <c r="C42" s="21">
        <v>38</v>
      </c>
      <c r="D42" s="21">
        <v>56</v>
      </c>
      <c r="E42" s="21">
        <v>57</v>
      </c>
      <c r="F42" s="21">
        <v>87</v>
      </c>
    </row>
    <row r="43" spans="1:6" ht="15.75" customHeight="1" outlineLevel="1">
      <c r="A43" s="16">
        <v>2000</v>
      </c>
      <c r="B43" s="25"/>
      <c r="C43" s="21">
        <v>37</v>
      </c>
      <c r="D43" s="21">
        <v>55</v>
      </c>
      <c r="E43" s="21">
        <v>65</v>
      </c>
      <c r="F43" s="21">
        <v>85</v>
      </c>
    </row>
    <row r="44" spans="1:6" ht="15.75" customHeight="1" outlineLevel="1">
      <c r="A44" s="16">
        <v>2500</v>
      </c>
      <c r="B44" s="25"/>
      <c r="C44" s="21">
        <v>34</v>
      </c>
      <c r="D44" s="21">
        <v>51</v>
      </c>
      <c r="E44" s="21">
        <v>61</v>
      </c>
      <c r="F44" s="21">
        <v>79</v>
      </c>
    </row>
    <row r="45" spans="1:6" ht="15.75" customHeight="1" outlineLevel="1">
      <c r="A45" s="16">
        <v>3000</v>
      </c>
      <c r="B45" s="25"/>
      <c r="C45" s="21">
        <v>31</v>
      </c>
      <c r="D45" s="21">
        <v>47</v>
      </c>
      <c r="E45" s="21">
        <v>57</v>
      </c>
      <c r="F45" s="21">
        <v>73</v>
      </c>
    </row>
    <row r="46" spans="1:6" ht="15.75" customHeight="1" outlineLevel="1">
      <c r="A46" s="16">
        <v>3500</v>
      </c>
      <c r="B46" s="25"/>
      <c r="C46" s="21">
        <v>28</v>
      </c>
      <c r="D46" s="21">
        <v>43</v>
      </c>
      <c r="E46" s="21">
        <v>53</v>
      </c>
      <c r="F46" s="21">
        <v>67</v>
      </c>
    </row>
    <row r="47" spans="1:6" ht="15.75" customHeight="1" outlineLevel="1">
      <c r="A47" s="16">
        <v>4000</v>
      </c>
      <c r="B47" s="25"/>
      <c r="C47" s="21">
        <v>25</v>
      </c>
      <c r="D47" s="21">
        <v>39</v>
      </c>
      <c r="E47" s="21">
        <v>49</v>
      </c>
      <c r="F47" s="21">
        <v>61</v>
      </c>
    </row>
    <row r="48" spans="1:6" ht="15.75" customHeight="1" outlineLevel="1">
      <c r="A48" s="16">
        <v>4500</v>
      </c>
      <c r="B48" s="25"/>
      <c r="C48" s="21">
        <v>22</v>
      </c>
      <c r="D48" s="21">
        <v>37</v>
      </c>
      <c r="E48" s="21">
        <v>45</v>
      </c>
      <c r="F48" s="21">
        <v>56</v>
      </c>
    </row>
    <row r="49" spans="1:7" ht="15.75" customHeight="1" outlineLevel="1">
      <c r="A49" s="16">
        <v>5000</v>
      </c>
      <c r="B49" s="25"/>
      <c r="C49" s="21">
        <v>30</v>
      </c>
      <c r="D49" s="21">
        <v>35</v>
      </c>
      <c r="E49" s="21">
        <v>40</v>
      </c>
      <c r="F49" s="21">
        <v>50</v>
      </c>
    </row>
    <row r="50" spans="1:7" ht="15.75" customHeight="1" outlineLevel="1">
      <c r="A50" s="16">
        <v>100000</v>
      </c>
      <c r="B50" s="25"/>
      <c r="C50" s="21">
        <v>30</v>
      </c>
      <c r="D50" s="21">
        <v>35</v>
      </c>
      <c r="E50" s="21">
        <v>40</v>
      </c>
      <c r="F50" s="21">
        <v>50</v>
      </c>
    </row>
    <row r="51" spans="1:7" ht="15.75" customHeight="1" outlineLevel="1"/>
    <row r="52" spans="1:7" ht="15.75" customHeight="1" outlineLevel="1"/>
    <row r="53" spans="1:7" ht="15.75" customHeight="1" outlineLevel="1"/>
    <row r="54" spans="1:7" ht="15.75" customHeight="1" outlineLevel="1"/>
    <row r="55" spans="1:7" ht="15.75" customHeight="1" outlineLevel="1"/>
    <row r="56" spans="1:7" ht="15.75" customHeight="1" outlineLevel="1"/>
    <row r="57" spans="1:7" ht="15.75" customHeight="1" outlineLevel="1"/>
    <row r="58" spans="1:7" ht="15.75" customHeight="1" outlineLevel="1"/>
    <row r="59" spans="1:7" ht="15.75" customHeight="1" outlineLevel="1"/>
    <row r="60" spans="1:7" ht="15.75" customHeight="1" outlineLevel="1"/>
    <row r="61" spans="1:7" ht="15.75" customHeight="1">
      <c r="A61" s="45" t="s">
        <v>192</v>
      </c>
      <c r="B61" s="45" t="s">
        <v>106</v>
      </c>
      <c r="C61" s="45" t="s">
        <v>187</v>
      </c>
      <c r="D61" s="45" t="s">
        <v>188</v>
      </c>
      <c r="E61" s="45" t="s">
        <v>189</v>
      </c>
      <c r="F61" s="6" t="s">
        <v>193</v>
      </c>
      <c r="G61" s="46" t="s">
        <v>194</v>
      </c>
    </row>
    <row r="62" spans="1:7" ht="15.75" customHeight="1" outlineLevel="1">
      <c r="A62" s="13"/>
      <c r="B62" s="13"/>
      <c r="C62" s="13"/>
      <c r="D62" s="13"/>
      <c r="E62" s="13"/>
      <c r="F62" s="13"/>
    </row>
    <row r="63" spans="1:7" ht="15.75" customHeight="1" outlineLevel="1">
      <c r="A63" s="16">
        <v>1</v>
      </c>
      <c r="B63" s="25"/>
      <c r="C63" s="21">
        <v>4500</v>
      </c>
      <c r="D63" s="21">
        <v>5000</v>
      </c>
      <c r="E63" s="21">
        <v>5500</v>
      </c>
      <c r="F63" s="21">
        <v>6000</v>
      </c>
    </row>
    <row r="64" spans="1:7" ht="15.75" customHeight="1" outlineLevel="1">
      <c r="A64" s="16">
        <v>2</v>
      </c>
      <c r="B64" s="25"/>
      <c r="C64" s="21">
        <v>4000</v>
      </c>
      <c r="D64" s="21">
        <v>4500</v>
      </c>
      <c r="E64" s="21">
        <v>5000</v>
      </c>
      <c r="F64" s="21">
        <v>5600</v>
      </c>
    </row>
    <row r="65" spans="1:8" ht="15.75" customHeight="1" outlineLevel="1">
      <c r="A65" s="16">
        <v>3</v>
      </c>
      <c r="B65" s="25"/>
      <c r="C65" s="21">
        <v>3500</v>
      </c>
      <c r="D65" s="21">
        <v>4000</v>
      </c>
      <c r="E65" s="21">
        <v>4500</v>
      </c>
      <c r="F65" s="21">
        <v>5100</v>
      </c>
    </row>
    <row r="66" spans="1:8" ht="15.75" customHeight="1" outlineLevel="1">
      <c r="A66" s="16">
        <v>4</v>
      </c>
      <c r="B66" s="25"/>
      <c r="C66" s="21">
        <v>3000</v>
      </c>
      <c r="D66" s="21">
        <v>3500</v>
      </c>
      <c r="E66" s="21">
        <v>4000</v>
      </c>
      <c r="F66" s="21">
        <v>4600</v>
      </c>
      <c r="H66" s="13" t="s">
        <v>195</v>
      </c>
    </row>
    <row r="67" spans="1:8" ht="15.75" customHeight="1" outlineLevel="1">
      <c r="A67" s="16">
        <v>5</v>
      </c>
      <c r="B67" s="25"/>
      <c r="C67" s="21">
        <v>2500</v>
      </c>
      <c r="D67" s="21">
        <v>3000</v>
      </c>
      <c r="E67" s="21">
        <v>3500</v>
      </c>
      <c r="F67" s="21">
        <v>4000</v>
      </c>
    </row>
    <row r="68" spans="1:8" ht="15.75" customHeight="1" outlineLevel="1">
      <c r="A68" s="16">
        <v>6</v>
      </c>
      <c r="B68" s="25"/>
      <c r="C68" s="21">
        <v>2000</v>
      </c>
      <c r="D68" s="21">
        <v>2500</v>
      </c>
      <c r="E68" s="21">
        <v>3000</v>
      </c>
      <c r="F68" s="21">
        <v>3500</v>
      </c>
    </row>
    <row r="69" spans="1:8" ht="15.75" customHeight="1" outlineLevel="1">
      <c r="A69" s="16">
        <v>7</v>
      </c>
      <c r="B69" s="25"/>
      <c r="C69" s="21">
        <v>1500</v>
      </c>
      <c r="D69" s="21">
        <v>2000</v>
      </c>
      <c r="E69" s="21">
        <v>2500</v>
      </c>
      <c r="F69" s="21">
        <v>3000</v>
      </c>
    </row>
    <row r="70" spans="1:8" ht="15.75" customHeight="1" outlineLevel="1">
      <c r="A70" s="16">
        <v>8</v>
      </c>
      <c r="B70" s="25"/>
      <c r="C70" s="21">
        <v>1000</v>
      </c>
      <c r="D70" s="21">
        <v>1500</v>
      </c>
      <c r="E70" s="21">
        <v>2000</v>
      </c>
      <c r="F70" s="21">
        <v>2500</v>
      </c>
    </row>
    <row r="71" spans="1:8" ht="15.75" customHeight="1" outlineLevel="1">
      <c r="A71" s="16">
        <v>9</v>
      </c>
      <c r="B71" s="25"/>
      <c r="C71" s="21">
        <v>800</v>
      </c>
      <c r="D71" s="21">
        <v>1000</v>
      </c>
      <c r="E71" s="21">
        <v>1500</v>
      </c>
      <c r="F71" s="21">
        <v>2000</v>
      </c>
    </row>
    <row r="72" spans="1:8" ht="15.75" customHeight="1" outlineLevel="1">
      <c r="A72" s="16">
        <v>10</v>
      </c>
      <c r="B72" s="25"/>
      <c r="C72" s="21">
        <v>500</v>
      </c>
      <c r="D72" s="21">
        <v>800</v>
      </c>
      <c r="E72" s="21">
        <v>1000</v>
      </c>
      <c r="F72" s="21">
        <v>1500</v>
      </c>
    </row>
    <row r="73" spans="1:8" ht="15.75" customHeight="1" outlineLevel="1">
      <c r="A73" s="16">
        <v>15</v>
      </c>
      <c r="B73" s="25"/>
      <c r="C73" s="21">
        <v>470</v>
      </c>
      <c r="D73" s="21">
        <v>750</v>
      </c>
      <c r="E73" s="21">
        <v>930</v>
      </c>
      <c r="F73" s="21">
        <v>1375</v>
      </c>
    </row>
    <row r="74" spans="1:8" ht="15.75" customHeight="1" outlineLevel="1">
      <c r="A74" s="16">
        <v>20</v>
      </c>
      <c r="B74" s="25"/>
      <c r="C74" s="21">
        <v>440</v>
      </c>
      <c r="D74" s="21">
        <v>700</v>
      </c>
      <c r="E74" s="21">
        <v>860</v>
      </c>
      <c r="F74" s="21">
        <v>1250</v>
      </c>
    </row>
    <row r="75" spans="1:8" ht="15.75" customHeight="1" outlineLevel="1">
      <c r="A75" s="16">
        <v>25</v>
      </c>
      <c r="B75" s="25"/>
      <c r="C75" s="21">
        <v>410</v>
      </c>
      <c r="D75" s="21">
        <v>650</v>
      </c>
      <c r="E75" s="21">
        <v>790</v>
      </c>
      <c r="F75" s="21">
        <v>1125</v>
      </c>
    </row>
    <row r="76" spans="1:8" ht="15.75" customHeight="1" outlineLevel="1">
      <c r="A76" s="16">
        <v>30</v>
      </c>
      <c r="B76" s="25"/>
      <c r="C76" s="21">
        <v>380</v>
      </c>
      <c r="D76" s="21">
        <v>600</v>
      </c>
      <c r="E76" s="21">
        <v>720</v>
      </c>
      <c r="F76" s="21">
        <v>1000</v>
      </c>
    </row>
    <row r="77" spans="1:8" ht="15.75" customHeight="1" outlineLevel="1">
      <c r="A77" s="16">
        <v>35</v>
      </c>
      <c r="B77" s="25"/>
      <c r="C77" s="21">
        <v>350</v>
      </c>
      <c r="D77" s="21">
        <v>550</v>
      </c>
      <c r="E77" s="21">
        <v>650</v>
      </c>
      <c r="F77" s="21">
        <v>875</v>
      </c>
    </row>
    <row r="78" spans="1:8" ht="15.75" customHeight="1" outlineLevel="1">
      <c r="A78" s="16">
        <v>40</v>
      </c>
      <c r="B78" s="25"/>
      <c r="C78" s="21">
        <v>320</v>
      </c>
      <c r="D78" s="21">
        <v>500</v>
      </c>
      <c r="E78" s="21">
        <v>580</v>
      </c>
      <c r="F78" s="21">
        <v>750</v>
      </c>
    </row>
    <row r="79" spans="1:8" ht="15.75" customHeight="1" outlineLevel="1">
      <c r="A79" s="16">
        <v>45</v>
      </c>
      <c r="B79" s="25"/>
      <c r="C79" s="21">
        <v>290</v>
      </c>
      <c r="D79" s="21">
        <v>450</v>
      </c>
      <c r="E79" s="21">
        <v>510</v>
      </c>
      <c r="F79" s="21">
        <v>625</v>
      </c>
    </row>
    <row r="80" spans="1:8" ht="15.75" customHeight="1" outlineLevel="1">
      <c r="A80" s="16">
        <v>50</v>
      </c>
      <c r="B80" s="25"/>
      <c r="C80" s="21">
        <v>260</v>
      </c>
      <c r="D80" s="21">
        <v>400</v>
      </c>
      <c r="E80" s="21">
        <v>450</v>
      </c>
      <c r="F80" s="21">
        <v>500</v>
      </c>
    </row>
    <row r="81" spans="1:6" ht="15.75" customHeight="1" outlineLevel="1">
      <c r="A81" s="16">
        <v>60</v>
      </c>
      <c r="B81" s="25"/>
      <c r="C81" s="21">
        <v>230</v>
      </c>
      <c r="D81" s="21">
        <v>350</v>
      </c>
      <c r="E81" s="21">
        <v>410</v>
      </c>
      <c r="F81" s="21">
        <v>460</v>
      </c>
    </row>
    <row r="82" spans="1:6" ht="15.75" customHeight="1" outlineLevel="1">
      <c r="A82" s="16">
        <v>70</v>
      </c>
      <c r="B82" s="25"/>
      <c r="C82" s="21">
        <v>200</v>
      </c>
      <c r="D82" s="21">
        <v>250</v>
      </c>
      <c r="E82" s="21">
        <v>370</v>
      </c>
      <c r="F82" s="21">
        <v>420</v>
      </c>
    </row>
    <row r="83" spans="1:6" ht="15.75" customHeight="1" outlineLevel="1">
      <c r="A83" s="16">
        <v>80</v>
      </c>
      <c r="B83" s="25"/>
      <c r="C83" s="21">
        <v>200</v>
      </c>
      <c r="D83" s="21">
        <v>240</v>
      </c>
      <c r="E83" s="21">
        <v>330</v>
      </c>
      <c r="F83" s="21">
        <v>380</v>
      </c>
    </row>
    <row r="84" spans="1:6" ht="15.75" customHeight="1" outlineLevel="1">
      <c r="A84" s="16">
        <v>90</v>
      </c>
      <c r="B84" s="25"/>
      <c r="C84" s="21">
        <v>200</v>
      </c>
      <c r="D84" s="21">
        <v>230</v>
      </c>
      <c r="E84" s="21">
        <v>290</v>
      </c>
      <c r="F84" s="21">
        <v>340</v>
      </c>
    </row>
    <row r="85" spans="1:6" ht="15.75" customHeight="1" outlineLevel="1">
      <c r="A85" s="16">
        <v>100</v>
      </c>
      <c r="B85" s="25"/>
      <c r="C85" s="21">
        <v>200</v>
      </c>
      <c r="D85" s="21">
        <v>220</v>
      </c>
      <c r="E85" s="21">
        <v>250</v>
      </c>
      <c r="F85" s="21">
        <v>300</v>
      </c>
    </row>
    <row r="86" spans="1:6" ht="15.75" customHeight="1" outlineLevel="1">
      <c r="A86" s="16">
        <v>150</v>
      </c>
      <c r="B86" s="25"/>
      <c r="C86" s="21">
        <v>150</v>
      </c>
      <c r="D86" s="21">
        <v>170</v>
      </c>
      <c r="E86" s="21">
        <v>234</v>
      </c>
      <c r="F86" s="21">
        <v>281</v>
      </c>
    </row>
    <row r="87" spans="1:6" ht="15.75" customHeight="1" outlineLevel="1">
      <c r="A87" s="16">
        <v>200</v>
      </c>
      <c r="B87" s="25"/>
      <c r="C87" s="21">
        <v>125</v>
      </c>
      <c r="D87" s="21">
        <v>150</v>
      </c>
      <c r="E87" s="21">
        <v>218</v>
      </c>
      <c r="F87" s="21">
        <v>262</v>
      </c>
    </row>
    <row r="88" spans="1:6" ht="15.75" customHeight="1" outlineLevel="1">
      <c r="A88" s="16">
        <v>250</v>
      </c>
      <c r="B88" s="25"/>
      <c r="C88" s="21">
        <v>110</v>
      </c>
      <c r="D88" s="21">
        <v>130</v>
      </c>
      <c r="E88" s="21">
        <v>202</v>
      </c>
      <c r="F88" s="21">
        <v>243</v>
      </c>
    </row>
    <row r="89" spans="1:6" ht="15.75" customHeight="1" outlineLevel="1">
      <c r="A89" s="16">
        <v>300</v>
      </c>
      <c r="B89" s="25"/>
      <c r="C89" s="21">
        <v>90</v>
      </c>
      <c r="D89" s="21">
        <v>110</v>
      </c>
      <c r="E89" s="21">
        <v>186</v>
      </c>
      <c r="F89" s="21">
        <v>224</v>
      </c>
    </row>
    <row r="90" spans="1:6" ht="15.75" customHeight="1" outlineLevel="1">
      <c r="A90" s="16">
        <v>350</v>
      </c>
      <c r="B90" s="25"/>
      <c r="C90" s="21">
        <v>80</v>
      </c>
      <c r="D90" s="21">
        <v>100</v>
      </c>
      <c r="E90" s="21">
        <v>170</v>
      </c>
      <c r="F90" s="21">
        <v>205</v>
      </c>
    </row>
    <row r="91" spans="1:6" ht="15.75" customHeight="1" outlineLevel="1">
      <c r="A91" s="16">
        <v>400</v>
      </c>
      <c r="B91" s="25"/>
      <c r="C91" s="21">
        <v>70</v>
      </c>
      <c r="D91" s="21">
        <v>90</v>
      </c>
      <c r="E91" s="21">
        <v>154</v>
      </c>
      <c r="F91" s="21">
        <v>186</v>
      </c>
    </row>
    <row r="92" spans="1:6" ht="15.75" customHeight="1" outlineLevel="1">
      <c r="A92" s="16">
        <v>450</v>
      </c>
      <c r="B92" s="25"/>
      <c r="C92" s="21">
        <v>67</v>
      </c>
      <c r="D92" s="21">
        <v>85</v>
      </c>
      <c r="E92" s="21">
        <v>138</v>
      </c>
      <c r="F92" s="21">
        <v>167</v>
      </c>
    </row>
    <row r="93" spans="1:6" ht="15.75" customHeight="1" outlineLevel="1">
      <c r="A93" s="16">
        <v>500</v>
      </c>
      <c r="B93" s="25"/>
      <c r="C93" s="21">
        <v>63</v>
      </c>
      <c r="D93" s="21">
        <v>80</v>
      </c>
      <c r="E93" s="21">
        <v>120</v>
      </c>
      <c r="F93" s="21">
        <v>150</v>
      </c>
    </row>
    <row r="94" spans="1:6" ht="15.75" customHeight="1" outlineLevel="1">
      <c r="A94" s="16">
        <v>600</v>
      </c>
      <c r="B94" s="25"/>
      <c r="C94" s="21">
        <v>58</v>
      </c>
      <c r="D94" s="21">
        <v>76</v>
      </c>
      <c r="E94" s="21">
        <v>111</v>
      </c>
      <c r="F94" s="21">
        <v>139</v>
      </c>
    </row>
    <row r="95" spans="1:6" ht="15.75" customHeight="1" outlineLevel="1">
      <c r="A95" s="16">
        <v>700</v>
      </c>
      <c r="B95" s="25"/>
      <c r="C95" s="21">
        <v>53</v>
      </c>
      <c r="D95" s="21">
        <v>72</v>
      </c>
      <c r="E95" s="21">
        <v>102</v>
      </c>
      <c r="F95" s="21">
        <v>128</v>
      </c>
    </row>
    <row r="96" spans="1:6" ht="15.75" customHeight="1" outlineLevel="1">
      <c r="A96" s="16">
        <v>800</v>
      </c>
      <c r="B96" s="25"/>
      <c r="C96" s="21">
        <v>48</v>
      </c>
      <c r="D96" s="21">
        <v>68</v>
      </c>
      <c r="E96" s="21">
        <v>93</v>
      </c>
      <c r="F96" s="21">
        <v>117</v>
      </c>
    </row>
    <row r="97" spans="1:6" ht="15.75" customHeight="1" outlineLevel="1">
      <c r="A97" s="16">
        <v>900</v>
      </c>
      <c r="B97" s="25"/>
      <c r="C97" s="21">
        <v>43</v>
      </c>
      <c r="D97" s="21">
        <v>64</v>
      </c>
      <c r="E97" s="21">
        <v>84</v>
      </c>
      <c r="F97" s="21">
        <v>106</v>
      </c>
    </row>
    <row r="98" spans="1:6" ht="15.75" customHeight="1" outlineLevel="1">
      <c r="A98" s="16">
        <v>1000</v>
      </c>
      <c r="B98" s="25"/>
      <c r="C98" s="21">
        <v>40</v>
      </c>
      <c r="D98" s="21">
        <v>60</v>
      </c>
      <c r="E98" s="21">
        <v>75</v>
      </c>
      <c r="F98" s="21">
        <v>95</v>
      </c>
    </row>
    <row r="99" spans="1:6" ht="15.75" customHeight="1" outlineLevel="1">
      <c r="A99" s="16">
        <v>1200</v>
      </c>
      <c r="B99" s="25"/>
      <c r="C99" s="21">
        <v>39</v>
      </c>
      <c r="D99" s="21">
        <v>58</v>
      </c>
      <c r="E99" s="21">
        <v>73</v>
      </c>
      <c r="F99" s="21">
        <v>93</v>
      </c>
    </row>
    <row r="100" spans="1:6" ht="15.75" customHeight="1" outlineLevel="1">
      <c r="A100" s="16">
        <v>1400</v>
      </c>
      <c r="B100" s="25"/>
      <c r="C100" s="21">
        <v>39</v>
      </c>
      <c r="D100" s="21">
        <v>58</v>
      </c>
      <c r="E100" s="21">
        <v>71</v>
      </c>
      <c r="F100" s="21">
        <v>91</v>
      </c>
    </row>
    <row r="101" spans="1:6" ht="15.75" customHeight="1" outlineLevel="1">
      <c r="A101" s="16">
        <v>1600</v>
      </c>
      <c r="B101" s="25"/>
      <c r="C101" s="21">
        <v>38</v>
      </c>
      <c r="D101" s="21">
        <v>56</v>
      </c>
      <c r="E101" s="21">
        <v>69</v>
      </c>
      <c r="F101" s="21">
        <v>89</v>
      </c>
    </row>
    <row r="102" spans="1:6" ht="15.75" customHeight="1" outlineLevel="1">
      <c r="A102" s="16">
        <v>1800</v>
      </c>
      <c r="B102" s="25"/>
      <c r="C102" s="21">
        <v>38</v>
      </c>
      <c r="D102" s="21">
        <v>56</v>
      </c>
      <c r="E102" s="21">
        <v>57</v>
      </c>
      <c r="F102" s="21">
        <v>87</v>
      </c>
    </row>
    <row r="103" spans="1:6" ht="15.75" customHeight="1" outlineLevel="1">
      <c r="A103" s="16">
        <v>2000</v>
      </c>
      <c r="B103" s="25"/>
      <c r="C103" s="21">
        <v>37</v>
      </c>
      <c r="D103" s="21">
        <v>55</v>
      </c>
      <c r="E103" s="21">
        <v>65</v>
      </c>
      <c r="F103" s="21">
        <v>85</v>
      </c>
    </row>
    <row r="104" spans="1:6" ht="15.75" customHeight="1" outlineLevel="1">
      <c r="A104" s="16">
        <v>2500</v>
      </c>
      <c r="B104" s="25"/>
      <c r="C104" s="21">
        <v>34</v>
      </c>
      <c r="D104" s="21">
        <v>51</v>
      </c>
      <c r="E104" s="21">
        <v>61</v>
      </c>
      <c r="F104" s="21">
        <v>79</v>
      </c>
    </row>
    <row r="105" spans="1:6" ht="15.75" customHeight="1" outlineLevel="1">
      <c r="A105" s="16">
        <v>3000</v>
      </c>
      <c r="B105" s="25"/>
      <c r="C105" s="21">
        <v>31</v>
      </c>
      <c r="D105" s="21">
        <v>47</v>
      </c>
      <c r="E105" s="21">
        <v>57</v>
      </c>
      <c r="F105" s="21">
        <v>73</v>
      </c>
    </row>
    <row r="106" spans="1:6" ht="15.75" customHeight="1" outlineLevel="1">
      <c r="A106" s="16">
        <v>3500</v>
      </c>
      <c r="B106" s="25"/>
      <c r="C106" s="21">
        <v>28</v>
      </c>
      <c r="D106" s="21">
        <v>43</v>
      </c>
      <c r="E106" s="21">
        <v>53</v>
      </c>
      <c r="F106" s="21">
        <v>67</v>
      </c>
    </row>
    <row r="107" spans="1:6" ht="15.75" customHeight="1" outlineLevel="1">
      <c r="A107" s="16">
        <v>4000</v>
      </c>
      <c r="B107" s="25"/>
      <c r="C107" s="21">
        <v>25</v>
      </c>
      <c r="D107" s="21">
        <v>39</v>
      </c>
      <c r="E107" s="21">
        <v>49</v>
      </c>
      <c r="F107" s="21">
        <v>61</v>
      </c>
    </row>
    <row r="108" spans="1:6" ht="15.75" customHeight="1" outlineLevel="1">
      <c r="A108" s="16">
        <v>4500</v>
      </c>
      <c r="B108" s="25"/>
      <c r="C108" s="21">
        <v>22</v>
      </c>
      <c r="D108" s="21">
        <v>37</v>
      </c>
      <c r="E108" s="21">
        <v>45</v>
      </c>
      <c r="F108" s="21">
        <v>56</v>
      </c>
    </row>
    <row r="109" spans="1:6" ht="15.75" customHeight="1" outlineLevel="1">
      <c r="A109" s="16">
        <v>5000</v>
      </c>
      <c r="B109" s="25"/>
      <c r="C109" s="21">
        <v>30</v>
      </c>
      <c r="D109" s="21">
        <v>35</v>
      </c>
      <c r="E109" s="21">
        <v>40</v>
      </c>
      <c r="F109" s="21">
        <v>50</v>
      </c>
    </row>
    <row r="110" spans="1:6" ht="15.75" customHeight="1" outlineLevel="1">
      <c r="A110" s="16">
        <v>100000</v>
      </c>
      <c r="B110" s="25"/>
      <c r="C110" s="21">
        <v>30</v>
      </c>
      <c r="D110" s="21">
        <v>35</v>
      </c>
      <c r="E110" s="21">
        <v>40</v>
      </c>
      <c r="F110" s="21">
        <v>50</v>
      </c>
    </row>
    <row r="111" spans="1:6" ht="15.75" customHeight="1" outlineLevel="1"/>
    <row r="112" spans="1:6" ht="15.75" customHeight="1" outlineLevel="1"/>
    <row r="113" spans="1:9" ht="15.75" customHeight="1" outlineLevel="1"/>
    <row r="114" spans="1:9" ht="15.75" customHeight="1" outlineLevel="1"/>
    <row r="115" spans="1:9" ht="15.75" customHeight="1" outlineLevel="1"/>
    <row r="116" spans="1:9" ht="15.75" customHeight="1" outlineLevel="1"/>
    <row r="117" spans="1:9" ht="15.75" customHeight="1" outlineLevel="1"/>
    <row r="118" spans="1:9" ht="15.75" customHeight="1" outlineLevel="1"/>
    <row r="119" spans="1:9" ht="15.75" customHeight="1" outlineLevel="1"/>
    <row r="120" spans="1:9" ht="15.75" customHeight="1" outlineLevel="1">
      <c r="A120" s="47" t="s">
        <v>196</v>
      </c>
      <c r="H120" s="47" t="s">
        <v>197</v>
      </c>
    </row>
    <row r="121" spans="1:9" ht="15.75" customHeight="1">
      <c r="A121" s="45" t="s">
        <v>198</v>
      </c>
      <c r="B121" s="45" t="s">
        <v>106</v>
      </c>
      <c r="C121" s="45" t="s">
        <v>199</v>
      </c>
      <c r="D121" s="45" t="s">
        <v>200</v>
      </c>
      <c r="E121" s="45" t="s">
        <v>201</v>
      </c>
      <c r="F121" s="45" t="s">
        <v>202</v>
      </c>
      <c r="G121" s="45" t="s">
        <v>203</v>
      </c>
      <c r="H121" s="48" t="s">
        <v>204</v>
      </c>
      <c r="I121" s="48" t="s">
        <v>205</v>
      </c>
    </row>
    <row r="122" spans="1:9" ht="15.75" customHeight="1" outlineLevel="1">
      <c r="A122" s="13"/>
      <c r="B122" s="13"/>
      <c r="C122" s="13"/>
      <c r="D122" s="13"/>
      <c r="E122" s="13"/>
      <c r="F122" s="13"/>
      <c r="G122" s="13"/>
      <c r="H122" s="13"/>
      <c r="I122" s="13"/>
    </row>
    <row r="123" spans="1:9" ht="15.75" customHeight="1" outlineLevel="1">
      <c r="A123" s="16">
        <v>1</v>
      </c>
      <c r="B123" s="25"/>
      <c r="C123" s="49">
        <v>5000</v>
      </c>
      <c r="D123" s="49">
        <v>6000</v>
      </c>
      <c r="E123" s="49">
        <v>6000</v>
      </c>
      <c r="F123" s="49">
        <v>7000</v>
      </c>
      <c r="G123" s="49">
        <v>7000</v>
      </c>
      <c r="H123" s="21">
        <v>6000</v>
      </c>
      <c r="I123" s="21">
        <v>6000</v>
      </c>
    </row>
    <row r="124" spans="1:9" ht="15.75" customHeight="1" outlineLevel="1">
      <c r="A124" s="16">
        <v>2</v>
      </c>
      <c r="B124" s="25"/>
      <c r="C124" s="49">
        <v>3000</v>
      </c>
      <c r="D124" s="49">
        <v>4000</v>
      </c>
      <c r="E124" s="49">
        <v>4000</v>
      </c>
      <c r="F124" s="49">
        <v>5000</v>
      </c>
      <c r="G124" s="49">
        <v>5000</v>
      </c>
      <c r="H124" s="21">
        <v>5600</v>
      </c>
      <c r="I124" s="21">
        <v>5600</v>
      </c>
    </row>
    <row r="125" spans="1:9" ht="15.75" customHeight="1" outlineLevel="1">
      <c r="A125" s="16">
        <v>3</v>
      </c>
      <c r="B125" s="25"/>
      <c r="C125" s="49">
        <v>2000</v>
      </c>
      <c r="D125" s="49">
        <v>3000</v>
      </c>
      <c r="E125" s="49">
        <v>3000</v>
      </c>
      <c r="F125" s="49">
        <v>4000</v>
      </c>
      <c r="G125" s="49">
        <v>4000</v>
      </c>
      <c r="H125" s="21">
        <v>5100</v>
      </c>
      <c r="I125" s="21">
        <v>5100</v>
      </c>
    </row>
    <row r="126" spans="1:9" ht="15.75" customHeight="1" outlineLevel="1">
      <c r="A126" s="16">
        <v>4</v>
      </c>
      <c r="B126" s="25"/>
      <c r="C126" s="49">
        <v>1500</v>
      </c>
      <c r="D126" s="49">
        <v>2000</v>
      </c>
      <c r="E126" s="49">
        <v>2000</v>
      </c>
      <c r="F126" s="49">
        <v>3000</v>
      </c>
      <c r="G126" s="49">
        <v>3000</v>
      </c>
      <c r="H126" s="21">
        <v>4600</v>
      </c>
      <c r="I126" s="21">
        <v>4600</v>
      </c>
    </row>
    <row r="127" spans="1:9" ht="15.75" customHeight="1" outlineLevel="1">
      <c r="A127" s="16">
        <v>5</v>
      </c>
      <c r="B127" s="25"/>
      <c r="C127" s="49">
        <v>1000</v>
      </c>
      <c r="D127" s="49">
        <v>1500</v>
      </c>
      <c r="E127" s="49">
        <v>1500</v>
      </c>
      <c r="F127" s="49">
        <v>2000</v>
      </c>
      <c r="G127" s="49">
        <v>2000</v>
      </c>
      <c r="H127" s="21">
        <v>4000</v>
      </c>
      <c r="I127" s="21">
        <v>4000</v>
      </c>
    </row>
    <row r="128" spans="1:9" ht="15.75" customHeight="1" outlineLevel="1">
      <c r="A128" s="16">
        <v>6</v>
      </c>
      <c r="B128" s="25"/>
      <c r="C128" s="49">
        <v>900</v>
      </c>
      <c r="D128" s="49">
        <v>1400</v>
      </c>
      <c r="E128" s="49">
        <v>1400</v>
      </c>
      <c r="F128" s="49">
        <v>1900</v>
      </c>
      <c r="G128" s="49">
        <v>1900</v>
      </c>
      <c r="H128" s="21">
        <v>3500</v>
      </c>
      <c r="I128" s="21">
        <v>3500</v>
      </c>
    </row>
    <row r="129" spans="1:9" ht="15.75" customHeight="1" outlineLevel="1">
      <c r="A129" s="16">
        <v>7</v>
      </c>
      <c r="B129" s="25"/>
      <c r="C129" s="49">
        <v>900</v>
      </c>
      <c r="D129" s="49">
        <v>1300</v>
      </c>
      <c r="E129" s="49">
        <v>1300</v>
      </c>
      <c r="F129" s="49">
        <v>1700</v>
      </c>
      <c r="G129" s="49">
        <v>1700</v>
      </c>
      <c r="H129" s="21">
        <v>3000</v>
      </c>
      <c r="I129" s="21">
        <v>3000</v>
      </c>
    </row>
    <row r="130" spans="1:9" ht="15.75" customHeight="1" outlineLevel="1">
      <c r="A130" s="16">
        <v>8</v>
      </c>
      <c r="B130" s="25"/>
      <c r="C130" s="49">
        <v>800</v>
      </c>
      <c r="D130" s="49">
        <v>1100</v>
      </c>
      <c r="E130" s="49">
        <v>1100</v>
      </c>
      <c r="F130" s="49">
        <v>1500</v>
      </c>
      <c r="G130" s="49">
        <v>1500</v>
      </c>
      <c r="H130" s="21">
        <v>2500</v>
      </c>
      <c r="I130" s="21">
        <v>2500</v>
      </c>
    </row>
    <row r="131" spans="1:9" ht="15.75" customHeight="1" outlineLevel="1">
      <c r="A131" s="16">
        <v>9</v>
      </c>
      <c r="B131" s="25"/>
      <c r="C131" s="49">
        <v>800</v>
      </c>
      <c r="D131" s="49">
        <v>1000</v>
      </c>
      <c r="E131" s="49">
        <v>1000</v>
      </c>
      <c r="F131" s="49">
        <v>1300</v>
      </c>
      <c r="G131" s="49">
        <v>1300</v>
      </c>
      <c r="H131" s="21">
        <v>2000</v>
      </c>
      <c r="I131" s="21">
        <v>2000</v>
      </c>
    </row>
    <row r="132" spans="1:9" ht="15.75" customHeight="1" outlineLevel="1">
      <c r="A132" s="16">
        <v>10</v>
      </c>
      <c r="B132" s="25"/>
      <c r="C132" s="49">
        <v>700</v>
      </c>
      <c r="D132" s="49">
        <v>800</v>
      </c>
      <c r="E132" s="49">
        <v>800</v>
      </c>
      <c r="F132" s="49">
        <v>1100</v>
      </c>
      <c r="G132" s="49">
        <v>1100</v>
      </c>
      <c r="H132" s="21">
        <v>1500</v>
      </c>
      <c r="I132" s="21">
        <v>1500</v>
      </c>
    </row>
    <row r="133" spans="1:9" ht="15.75" customHeight="1" outlineLevel="1">
      <c r="A133" s="16">
        <v>15</v>
      </c>
      <c r="B133" s="25"/>
      <c r="C133" s="49">
        <v>650</v>
      </c>
      <c r="D133" s="49">
        <v>750</v>
      </c>
      <c r="E133" s="49">
        <v>750</v>
      </c>
      <c r="F133" s="49">
        <v>1000</v>
      </c>
      <c r="G133" s="49">
        <v>1000</v>
      </c>
      <c r="H133" s="21">
        <v>1375</v>
      </c>
      <c r="I133" s="21">
        <v>1375</v>
      </c>
    </row>
    <row r="134" spans="1:9" ht="15.75" customHeight="1" outlineLevel="1">
      <c r="A134" s="16">
        <v>20</v>
      </c>
      <c r="B134" s="25"/>
      <c r="C134" s="49">
        <v>600</v>
      </c>
      <c r="D134" s="49">
        <v>700</v>
      </c>
      <c r="E134" s="49">
        <v>700</v>
      </c>
      <c r="F134" s="49">
        <v>900</v>
      </c>
      <c r="G134" s="49">
        <v>900</v>
      </c>
      <c r="H134" s="21">
        <v>1250</v>
      </c>
      <c r="I134" s="21">
        <v>1250</v>
      </c>
    </row>
    <row r="135" spans="1:9" ht="15.75" customHeight="1" outlineLevel="1">
      <c r="A135" s="16">
        <v>25</v>
      </c>
      <c r="B135" s="25"/>
      <c r="C135" s="49">
        <v>550</v>
      </c>
      <c r="D135" s="49">
        <v>650</v>
      </c>
      <c r="E135" s="49">
        <v>650</v>
      </c>
      <c r="F135" s="49">
        <v>800</v>
      </c>
      <c r="G135" s="49">
        <v>800</v>
      </c>
      <c r="H135" s="21">
        <v>1125</v>
      </c>
      <c r="I135" s="21">
        <v>1125</v>
      </c>
    </row>
    <row r="136" spans="1:9" ht="15.75" customHeight="1" outlineLevel="1">
      <c r="A136" s="16">
        <v>30</v>
      </c>
      <c r="B136" s="25"/>
      <c r="C136" s="49">
        <v>500</v>
      </c>
      <c r="D136" s="49">
        <v>600</v>
      </c>
      <c r="E136" s="49">
        <v>600</v>
      </c>
      <c r="F136" s="49">
        <v>700</v>
      </c>
      <c r="G136" s="49">
        <v>700</v>
      </c>
      <c r="H136" s="21">
        <v>1000</v>
      </c>
      <c r="I136" s="21">
        <v>1000</v>
      </c>
    </row>
    <row r="137" spans="1:9" ht="15.75" customHeight="1" outlineLevel="1">
      <c r="A137" s="16">
        <v>35</v>
      </c>
      <c r="B137" s="25"/>
      <c r="C137" s="49">
        <v>480</v>
      </c>
      <c r="D137" s="49">
        <v>570</v>
      </c>
      <c r="E137" s="49">
        <v>570</v>
      </c>
      <c r="F137" s="49">
        <v>670</v>
      </c>
      <c r="G137" s="49">
        <v>670</v>
      </c>
      <c r="H137" s="21">
        <v>875</v>
      </c>
      <c r="I137" s="21">
        <v>875</v>
      </c>
    </row>
    <row r="138" spans="1:9" ht="15.75" customHeight="1" outlineLevel="1">
      <c r="A138" s="16">
        <v>40</v>
      </c>
      <c r="B138" s="25"/>
      <c r="C138" s="49">
        <v>460</v>
      </c>
      <c r="D138" s="49">
        <v>540</v>
      </c>
      <c r="E138" s="49">
        <v>540</v>
      </c>
      <c r="F138" s="49">
        <v>640</v>
      </c>
      <c r="G138" s="49">
        <v>640</v>
      </c>
      <c r="H138" s="21">
        <v>750</v>
      </c>
      <c r="I138" s="21">
        <v>750</v>
      </c>
    </row>
    <row r="139" spans="1:9" ht="15.75" customHeight="1" outlineLevel="1">
      <c r="A139" s="16">
        <v>45</v>
      </c>
      <c r="B139" s="25"/>
      <c r="C139" s="49">
        <v>440</v>
      </c>
      <c r="D139" s="49">
        <v>510</v>
      </c>
      <c r="E139" s="49">
        <v>510</v>
      </c>
      <c r="F139" s="49">
        <v>610</v>
      </c>
      <c r="G139" s="49">
        <v>610</v>
      </c>
      <c r="H139" s="21">
        <v>625</v>
      </c>
      <c r="I139" s="21">
        <v>625</v>
      </c>
    </row>
    <row r="140" spans="1:9" ht="15.75" customHeight="1" outlineLevel="1">
      <c r="A140" s="16">
        <v>50</v>
      </c>
      <c r="B140" s="25"/>
      <c r="C140" s="49">
        <v>420</v>
      </c>
      <c r="D140" s="49">
        <v>480</v>
      </c>
      <c r="E140" s="49">
        <v>480</v>
      </c>
      <c r="F140" s="49">
        <v>580</v>
      </c>
      <c r="G140" s="49">
        <v>580</v>
      </c>
      <c r="H140" s="21">
        <v>500</v>
      </c>
      <c r="I140" s="21">
        <v>500</v>
      </c>
    </row>
    <row r="141" spans="1:9" ht="15.75" customHeight="1" outlineLevel="1">
      <c r="A141" s="16">
        <v>60</v>
      </c>
      <c r="B141" s="25"/>
      <c r="C141" s="49">
        <v>390</v>
      </c>
      <c r="D141" s="49">
        <v>450</v>
      </c>
      <c r="E141" s="49">
        <v>450</v>
      </c>
      <c r="F141" s="49">
        <v>550</v>
      </c>
      <c r="G141" s="49">
        <v>550</v>
      </c>
      <c r="H141" s="21">
        <v>460</v>
      </c>
      <c r="I141" s="21">
        <v>460</v>
      </c>
    </row>
    <row r="142" spans="1:9" ht="15.75" customHeight="1" outlineLevel="1">
      <c r="A142" s="16">
        <v>70</v>
      </c>
      <c r="B142" s="25"/>
      <c r="C142" s="49">
        <v>360</v>
      </c>
      <c r="D142" s="49">
        <v>420</v>
      </c>
      <c r="E142" s="49">
        <v>420</v>
      </c>
      <c r="F142" s="49">
        <v>520</v>
      </c>
      <c r="G142" s="49">
        <v>520</v>
      </c>
      <c r="H142" s="21">
        <v>420</v>
      </c>
      <c r="I142" s="21">
        <v>420</v>
      </c>
    </row>
    <row r="143" spans="1:9" ht="15.75" customHeight="1" outlineLevel="1">
      <c r="A143" s="16">
        <v>80</v>
      </c>
      <c r="B143" s="25"/>
      <c r="C143" s="49">
        <v>330</v>
      </c>
      <c r="D143" s="49">
        <v>390</v>
      </c>
      <c r="E143" s="49">
        <v>390</v>
      </c>
      <c r="F143" s="49">
        <v>490</v>
      </c>
      <c r="G143" s="49">
        <v>490</v>
      </c>
      <c r="H143" s="21">
        <v>380</v>
      </c>
      <c r="I143" s="21">
        <v>380</v>
      </c>
    </row>
    <row r="144" spans="1:9" ht="15.75" customHeight="1" outlineLevel="1">
      <c r="A144" s="16">
        <v>90</v>
      </c>
      <c r="B144" s="25"/>
      <c r="C144" s="49">
        <v>300</v>
      </c>
      <c r="D144" s="49">
        <v>360</v>
      </c>
      <c r="E144" s="49">
        <v>360</v>
      </c>
      <c r="F144" s="49">
        <v>460</v>
      </c>
      <c r="G144" s="49">
        <v>460</v>
      </c>
      <c r="H144" s="21">
        <v>340</v>
      </c>
      <c r="I144" s="21">
        <v>340</v>
      </c>
    </row>
    <row r="145" spans="1:9" ht="15.75" customHeight="1" outlineLevel="1">
      <c r="A145" s="16">
        <v>100</v>
      </c>
      <c r="B145" s="25"/>
      <c r="C145" s="49">
        <v>270</v>
      </c>
      <c r="D145" s="49">
        <v>330</v>
      </c>
      <c r="E145" s="49">
        <v>330</v>
      </c>
      <c r="F145" s="49">
        <v>430</v>
      </c>
      <c r="G145" s="49">
        <v>430</v>
      </c>
      <c r="H145" s="21">
        <v>300</v>
      </c>
      <c r="I145" s="21">
        <v>300</v>
      </c>
    </row>
    <row r="146" spans="1:9" ht="15.75" customHeight="1" outlineLevel="1">
      <c r="A146" s="16">
        <v>150</v>
      </c>
      <c r="B146" s="25"/>
      <c r="C146" s="21">
        <v>240</v>
      </c>
      <c r="D146" s="21">
        <v>300</v>
      </c>
      <c r="E146" s="21">
        <v>300</v>
      </c>
      <c r="F146" s="21">
        <v>370</v>
      </c>
      <c r="G146" s="21">
        <v>370</v>
      </c>
      <c r="H146" s="21">
        <v>281</v>
      </c>
      <c r="I146" s="21">
        <v>281</v>
      </c>
    </row>
    <row r="147" spans="1:9" ht="15.75" customHeight="1" outlineLevel="1">
      <c r="A147" s="16">
        <v>200</v>
      </c>
      <c r="B147" s="25"/>
      <c r="C147" s="21">
        <v>210</v>
      </c>
      <c r="D147" s="21">
        <v>270</v>
      </c>
      <c r="E147" s="21">
        <v>270</v>
      </c>
      <c r="F147" s="21">
        <v>340</v>
      </c>
      <c r="G147" s="21">
        <v>340</v>
      </c>
      <c r="H147" s="21">
        <v>262</v>
      </c>
      <c r="I147" s="21">
        <v>262</v>
      </c>
    </row>
    <row r="148" spans="1:9" ht="15.75" customHeight="1" outlineLevel="1">
      <c r="A148" s="16">
        <v>250</v>
      </c>
      <c r="B148" s="25"/>
      <c r="C148" s="21">
        <v>180</v>
      </c>
      <c r="D148" s="21">
        <v>240</v>
      </c>
      <c r="E148" s="21">
        <v>240</v>
      </c>
      <c r="F148" s="21">
        <v>310</v>
      </c>
      <c r="G148" s="21">
        <v>310</v>
      </c>
      <c r="H148" s="21">
        <v>243</v>
      </c>
      <c r="I148" s="21">
        <v>243</v>
      </c>
    </row>
    <row r="149" spans="1:9" ht="15.75" customHeight="1" outlineLevel="1">
      <c r="A149" s="16">
        <v>300</v>
      </c>
      <c r="B149" s="25"/>
      <c r="C149" s="21">
        <v>150</v>
      </c>
      <c r="D149" s="21">
        <v>210</v>
      </c>
      <c r="E149" s="21">
        <v>210</v>
      </c>
      <c r="F149" s="21">
        <v>280</v>
      </c>
      <c r="G149" s="21">
        <v>280</v>
      </c>
      <c r="H149" s="21">
        <v>224</v>
      </c>
      <c r="I149" s="21">
        <v>224</v>
      </c>
    </row>
    <row r="150" spans="1:9" ht="15.75" customHeight="1" outlineLevel="1">
      <c r="A150" s="16">
        <v>350</v>
      </c>
      <c r="B150" s="25"/>
      <c r="C150" s="21">
        <v>120</v>
      </c>
      <c r="D150" s="21">
        <v>190</v>
      </c>
      <c r="E150" s="21">
        <v>190</v>
      </c>
      <c r="F150" s="21">
        <v>260</v>
      </c>
      <c r="G150" s="21">
        <v>260</v>
      </c>
      <c r="H150" s="21">
        <v>205</v>
      </c>
      <c r="I150" s="21">
        <v>205</v>
      </c>
    </row>
    <row r="151" spans="1:9" ht="15.75" customHeight="1" outlineLevel="1">
      <c r="A151" s="16">
        <v>400</v>
      </c>
      <c r="B151" s="25"/>
      <c r="C151" s="21">
        <v>100</v>
      </c>
      <c r="D151" s="21">
        <v>170</v>
      </c>
      <c r="E151" s="21">
        <v>170</v>
      </c>
      <c r="F151" s="21">
        <v>240</v>
      </c>
      <c r="G151" s="21">
        <v>240</v>
      </c>
      <c r="H151" s="21">
        <v>186</v>
      </c>
      <c r="I151" s="21">
        <v>186</v>
      </c>
    </row>
    <row r="152" spans="1:9" ht="15.75" customHeight="1" outlineLevel="1">
      <c r="A152" s="16">
        <v>450</v>
      </c>
      <c r="B152" s="25"/>
      <c r="C152" s="21">
        <v>90</v>
      </c>
      <c r="D152" s="21">
        <v>160</v>
      </c>
      <c r="E152" s="21">
        <v>160</v>
      </c>
      <c r="F152" s="21">
        <v>220</v>
      </c>
      <c r="G152" s="21">
        <v>220</v>
      </c>
      <c r="H152" s="21">
        <v>167</v>
      </c>
      <c r="I152" s="21">
        <v>167</v>
      </c>
    </row>
    <row r="153" spans="1:9" ht="15.75" customHeight="1" outlineLevel="1">
      <c r="A153" s="16">
        <v>500</v>
      </c>
      <c r="B153" s="25"/>
      <c r="C153" s="21">
        <v>80</v>
      </c>
      <c r="D153" s="21">
        <v>150</v>
      </c>
      <c r="E153" s="21">
        <v>150</v>
      </c>
      <c r="F153" s="21">
        <v>200</v>
      </c>
      <c r="G153" s="21">
        <v>200</v>
      </c>
      <c r="H153" s="21">
        <v>150</v>
      </c>
      <c r="I153" s="21">
        <v>150</v>
      </c>
    </row>
    <row r="154" spans="1:9" ht="15.75" customHeight="1" outlineLevel="1">
      <c r="A154" s="16">
        <v>600</v>
      </c>
      <c r="B154" s="25"/>
      <c r="C154" s="21">
        <v>75</v>
      </c>
      <c r="D154" s="21">
        <v>140</v>
      </c>
      <c r="E154" s="21">
        <v>140</v>
      </c>
      <c r="F154" s="21">
        <v>190</v>
      </c>
      <c r="G154" s="21">
        <v>190</v>
      </c>
      <c r="H154" s="21">
        <v>139</v>
      </c>
      <c r="I154" s="21">
        <v>139</v>
      </c>
    </row>
    <row r="155" spans="1:9" ht="15.75" customHeight="1" outlineLevel="1">
      <c r="A155" s="16">
        <v>700</v>
      </c>
      <c r="B155" s="25"/>
      <c r="C155" s="21">
        <v>70</v>
      </c>
      <c r="D155" s="21">
        <v>130</v>
      </c>
      <c r="E155" s="21">
        <v>130</v>
      </c>
      <c r="F155" s="21">
        <v>180</v>
      </c>
      <c r="G155" s="21">
        <v>180</v>
      </c>
      <c r="H155" s="21">
        <v>128</v>
      </c>
      <c r="I155" s="21">
        <v>128</v>
      </c>
    </row>
    <row r="156" spans="1:9" ht="15.75" customHeight="1" outlineLevel="1">
      <c r="A156" s="16">
        <v>800</v>
      </c>
      <c r="B156" s="25"/>
      <c r="C156" s="21">
        <v>65</v>
      </c>
      <c r="D156" s="21">
        <v>120</v>
      </c>
      <c r="E156" s="21">
        <v>120</v>
      </c>
      <c r="F156" s="21">
        <v>170</v>
      </c>
      <c r="G156" s="21">
        <v>170</v>
      </c>
      <c r="H156" s="21">
        <v>117</v>
      </c>
      <c r="I156" s="21">
        <v>117</v>
      </c>
    </row>
    <row r="157" spans="1:9" ht="15.75" customHeight="1" outlineLevel="1">
      <c r="A157" s="16">
        <v>900</v>
      </c>
      <c r="B157" s="25"/>
      <c r="C157" s="21">
        <v>60</v>
      </c>
      <c r="D157" s="21">
        <v>110</v>
      </c>
      <c r="E157" s="21">
        <v>110</v>
      </c>
      <c r="F157" s="21">
        <v>160</v>
      </c>
      <c r="G157" s="21">
        <v>160</v>
      </c>
      <c r="H157" s="21">
        <v>106</v>
      </c>
      <c r="I157" s="21">
        <v>106</v>
      </c>
    </row>
    <row r="158" spans="1:9" ht="15.75" customHeight="1" outlineLevel="1">
      <c r="A158" s="16">
        <v>1000</v>
      </c>
      <c r="B158" s="25"/>
      <c r="C158" s="21">
        <v>60</v>
      </c>
      <c r="D158" s="21">
        <v>100</v>
      </c>
      <c r="E158" s="21">
        <v>100</v>
      </c>
      <c r="F158" s="21">
        <v>150</v>
      </c>
      <c r="G158" s="21">
        <v>150</v>
      </c>
      <c r="H158" s="21">
        <v>95</v>
      </c>
      <c r="I158" s="21">
        <v>95</v>
      </c>
    </row>
    <row r="159" spans="1:9" ht="15.75" customHeight="1" outlineLevel="1">
      <c r="A159" s="16">
        <v>1200</v>
      </c>
      <c r="B159" s="25"/>
      <c r="C159" s="21">
        <v>58</v>
      </c>
      <c r="D159" s="21">
        <v>95</v>
      </c>
      <c r="E159" s="21">
        <v>95</v>
      </c>
      <c r="F159" s="21">
        <v>140</v>
      </c>
      <c r="G159" s="21">
        <v>140</v>
      </c>
      <c r="H159" s="21">
        <v>93</v>
      </c>
      <c r="I159" s="21">
        <v>93</v>
      </c>
    </row>
    <row r="160" spans="1:9" ht="15.75" customHeight="1" outlineLevel="1">
      <c r="A160" s="16">
        <v>1400</v>
      </c>
      <c r="B160" s="25"/>
      <c r="C160" s="21">
        <v>56</v>
      </c>
      <c r="D160" s="21">
        <v>90</v>
      </c>
      <c r="E160" s="21">
        <v>90</v>
      </c>
      <c r="F160" s="21">
        <v>130</v>
      </c>
      <c r="G160" s="21">
        <v>130</v>
      </c>
      <c r="H160" s="21">
        <v>91</v>
      </c>
      <c r="I160" s="21">
        <v>91</v>
      </c>
    </row>
    <row r="161" spans="1:9" ht="15.75" customHeight="1" outlineLevel="1">
      <c r="A161" s="16">
        <v>1600</v>
      </c>
      <c r="B161" s="25"/>
      <c r="C161" s="21">
        <v>54</v>
      </c>
      <c r="D161" s="21">
        <v>85</v>
      </c>
      <c r="E161" s="21">
        <v>85</v>
      </c>
      <c r="F161" s="21">
        <v>120</v>
      </c>
      <c r="G161" s="21">
        <v>120</v>
      </c>
      <c r="H161" s="21">
        <v>89</v>
      </c>
      <c r="I161" s="21">
        <v>89</v>
      </c>
    </row>
    <row r="162" spans="1:9" ht="15.75" customHeight="1" outlineLevel="1">
      <c r="A162" s="16">
        <v>1800</v>
      </c>
      <c r="B162" s="25"/>
      <c r="C162" s="21">
        <v>52</v>
      </c>
      <c r="D162" s="21">
        <v>80</v>
      </c>
      <c r="E162" s="21">
        <v>80</v>
      </c>
      <c r="F162" s="21">
        <v>110</v>
      </c>
      <c r="G162" s="21">
        <v>110</v>
      </c>
      <c r="H162" s="21">
        <v>87</v>
      </c>
      <c r="I162" s="21">
        <v>87</v>
      </c>
    </row>
    <row r="163" spans="1:9" ht="15.75" customHeight="1" outlineLevel="1">
      <c r="A163" s="16">
        <v>2000</v>
      </c>
      <c r="B163" s="25"/>
      <c r="C163" s="21">
        <v>50</v>
      </c>
      <c r="D163" s="21">
        <v>75</v>
      </c>
      <c r="E163" s="21">
        <v>75</v>
      </c>
      <c r="F163" s="21">
        <v>105</v>
      </c>
      <c r="G163" s="21">
        <v>105</v>
      </c>
      <c r="H163" s="21">
        <v>85</v>
      </c>
      <c r="I163" s="21">
        <v>85</v>
      </c>
    </row>
    <row r="164" spans="1:9" ht="15.75" customHeight="1" outlineLevel="1">
      <c r="A164" s="16">
        <v>2500</v>
      </c>
      <c r="B164" s="25"/>
      <c r="C164" s="21">
        <v>48</v>
      </c>
      <c r="D164" s="21">
        <v>70</v>
      </c>
      <c r="E164" s="21">
        <v>70</v>
      </c>
      <c r="F164" s="21">
        <v>100</v>
      </c>
      <c r="G164" s="21">
        <v>100</v>
      </c>
      <c r="H164" s="21">
        <v>79</v>
      </c>
      <c r="I164" s="21">
        <v>79</v>
      </c>
    </row>
    <row r="165" spans="1:9" ht="15.75" customHeight="1" outlineLevel="1">
      <c r="A165" s="16">
        <v>3000</v>
      </c>
      <c r="B165" s="25"/>
      <c r="C165" s="21">
        <v>46</v>
      </c>
      <c r="D165" s="21">
        <v>65</v>
      </c>
      <c r="E165" s="21">
        <v>65</v>
      </c>
      <c r="F165" s="21">
        <v>95</v>
      </c>
      <c r="G165" s="21">
        <v>95</v>
      </c>
      <c r="H165" s="21">
        <v>73</v>
      </c>
      <c r="I165" s="21">
        <v>73</v>
      </c>
    </row>
    <row r="166" spans="1:9" ht="15.75" customHeight="1" outlineLevel="1">
      <c r="A166" s="16">
        <v>3500</v>
      </c>
      <c r="B166" s="25"/>
      <c r="C166" s="21">
        <v>44</v>
      </c>
      <c r="D166" s="21">
        <v>60</v>
      </c>
      <c r="E166" s="21">
        <v>60</v>
      </c>
      <c r="F166" s="21">
        <v>90</v>
      </c>
      <c r="G166" s="21">
        <v>90</v>
      </c>
      <c r="H166" s="21">
        <v>67</v>
      </c>
      <c r="I166" s="21">
        <v>67</v>
      </c>
    </row>
    <row r="167" spans="1:9" ht="15.75" customHeight="1" outlineLevel="1">
      <c r="A167" s="16">
        <v>4000</v>
      </c>
      <c r="B167" s="25"/>
      <c r="C167" s="21">
        <v>42</v>
      </c>
      <c r="D167" s="21">
        <v>55</v>
      </c>
      <c r="E167" s="21">
        <v>55</v>
      </c>
      <c r="F167" s="21">
        <v>85</v>
      </c>
      <c r="G167" s="21">
        <v>85</v>
      </c>
      <c r="H167" s="21">
        <v>61</v>
      </c>
      <c r="I167" s="21">
        <v>61</v>
      </c>
    </row>
    <row r="168" spans="1:9" ht="15.75" customHeight="1" outlineLevel="1">
      <c r="A168" s="16">
        <v>4500</v>
      </c>
      <c r="B168" s="25"/>
      <c r="C168" s="21">
        <v>41</v>
      </c>
      <c r="D168" s="21">
        <v>50</v>
      </c>
      <c r="E168" s="21">
        <v>50</v>
      </c>
      <c r="F168" s="21">
        <v>80</v>
      </c>
      <c r="G168" s="21">
        <v>80</v>
      </c>
      <c r="H168" s="21">
        <v>56</v>
      </c>
      <c r="I168" s="21">
        <v>56</v>
      </c>
    </row>
    <row r="169" spans="1:9" ht="15.75" customHeight="1" outlineLevel="1">
      <c r="A169" s="16">
        <v>5000</v>
      </c>
      <c r="B169" s="25"/>
      <c r="C169" s="21">
        <v>40</v>
      </c>
      <c r="D169" s="21">
        <v>50</v>
      </c>
      <c r="E169" s="21">
        <v>50</v>
      </c>
      <c r="F169" s="21">
        <v>70</v>
      </c>
      <c r="G169" s="21">
        <v>70</v>
      </c>
      <c r="H169" s="21">
        <v>50</v>
      </c>
      <c r="I169" s="21">
        <v>50</v>
      </c>
    </row>
    <row r="170" spans="1:9" ht="15.75" customHeight="1" outlineLevel="1">
      <c r="A170" s="16">
        <v>100000</v>
      </c>
      <c r="B170" s="25"/>
      <c r="C170" s="21">
        <v>40</v>
      </c>
      <c r="D170" s="21">
        <v>50</v>
      </c>
      <c r="E170" s="21">
        <v>50</v>
      </c>
      <c r="F170" s="21">
        <v>65</v>
      </c>
      <c r="G170" s="21">
        <v>65</v>
      </c>
      <c r="H170" s="21">
        <v>50</v>
      </c>
      <c r="I170" s="21">
        <v>50</v>
      </c>
    </row>
    <row r="171" spans="1:9" ht="15.75" customHeight="1" outlineLevel="1"/>
    <row r="172" spans="1:9" ht="15.75" customHeight="1" outlineLevel="1"/>
    <row r="173" spans="1:9" ht="15.75" customHeight="1" outlineLevel="1"/>
    <row r="174" spans="1:9" ht="15.75" customHeight="1" outlineLevel="1"/>
    <row r="175" spans="1:9" ht="15.75" customHeight="1" outlineLevel="1"/>
    <row r="176" spans="1:9" ht="15.75" customHeight="1" outlineLevel="1"/>
    <row r="177" spans="1:10" ht="15.75" customHeight="1" outlineLevel="1"/>
    <row r="178" spans="1:10" ht="15.75" customHeight="1" outlineLevel="1"/>
    <row r="179" spans="1:10" ht="15.75" customHeight="1" outlineLevel="1"/>
    <row r="180" spans="1:10" ht="15.75" customHeight="1" outlineLevel="1"/>
    <row r="181" spans="1:10" ht="15.75" customHeight="1">
      <c r="A181" s="45" t="s">
        <v>206</v>
      </c>
      <c r="B181" s="45" t="s">
        <v>106</v>
      </c>
      <c r="C181" s="13" t="s">
        <v>207</v>
      </c>
      <c r="D181" s="45" t="s">
        <v>208</v>
      </c>
      <c r="E181" s="13" t="s">
        <v>209</v>
      </c>
      <c r="F181" s="45" t="s">
        <v>210</v>
      </c>
      <c r="G181" s="13" t="s">
        <v>211</v>
      </c>
      <c r="H181" s="45" t="s">
        <v>212</v>
      </c>
      <c r="I181" s="13" t="s">
        <v>213</v>
      </c>
      <c r="J181" s="8" t="s">
        <v>214</v>
      </c>
    </row>
    <row r="182" spans="1:10" ht="15.75" customHeight="1" outlineLevel="1">
      <c r="A182" s="13"/>
      <c r="B182" s="13"/>
      <c r="C182" s="13"/>
      <c r="D182" s="13"/>
      <c r="E182" s="13"/>
      <c r="F182" s="13"/>
      <c r="G182" s="13"/>
      <c r="H182" s="13"/>
      <c r="I182" s="13"/>
    </row>
    <row r="183" spans="1:10" ht="15.75" customHeight="1" outlineLevel="1">
      <c r="A183" s="13">
        <v>1</v>
      </c>
      <c r="B183" s="13">
        <v>0</v>
      </c>
      <c r="C183" s="13">
        <v>0</v>
      </c>
      <c r="D183" s="13">
        <v>0</v>
      </c>
      <c r="E183" s="13">
        <v>15000</v>
      </c>
      <c r="F183" s="13">
        <v>0</v>
      </c>
      <c r="G183" s="13">
        <v>20000</v>
      </c>
      <c r="H183" s="13">
        <v>25000</v>
      </c>
    </row>
    <row r="184" spans="1:10" ht="15.75" customHeight="1" outlineLevel="1">
      <c r="A184" s="13">
        <v>100</v>
      </c>
      <c r="B184" s="13">
        <v>0</v>
      </c>
      <c r="C184" s="13">
        <v>0</v>
      </c>
      <c r="D184" s="13">
        <v>0</v>
      </c>
      <c r="E184" s="13">
        <v>15000</v>
      </c>
      <c r="F184" s="13">
        <v>0</v>
      </c>
      <c r="G184" s="13">
        <v>25000</v>
      </c>
      <c r="H184" s="13">
        <v>30000</v>
      </c>
    </row>
    <row r="185" spans="1:10" ht="15.75" customHeight="1" outlineLevel="1">
      <c r="A185" s="13">
        <v>400</v>
      </c>
      <c r="B185" s="13">
        <v>0</v>
      </c>
      <c r="C185" s="13">
        <v>0</v>
      </c>
      <c r="D185" s="13">
        <v>0</v>
      </c>
      <c r="E185" s="13">
        <v>15000</v>
      </c>
      <c r="F185" s="13">
        <v>0</v>
      </c>
      <c r="G185" s="13">
        <v>25000</v>
      </c>
      <c r="H185" s="13">
        <v>30000</v>
      </c>
    </row>
    <row r="186" spans="1:10" ht="15.75" customHeight="1" outlineLevel="1">
      <c r="A186" s="13">
        <v>600</v>
      </c>
      <c r="B186" s="13">
        <v>0</v>
      </c>
      <c r="C186" s="13">
        <v>0</v>
      </c>
      <c r="D186" s="13">
        <v>0</v>
      </c>
      <c r="E186" s="13">
        <v>20000</v>
      </c>
      <c r="F186" s="13">
        <v>0</v>
      </c>
      <c r="G186" s="13">
        <v>30000</v>
      </c>
      <c r="H186" s="13">
        <v>40000</v>
      </c>
    </row>
    <row r="187" spans="1:10" ht="15.75" customHeight="1" outlineLevel="1">
      <c r="A187" s="13">
        <v>800</v>
      </c>
      <c r="B187" s="13">
        <v>0</v>
      </c>
      <c r="C187" s="13">
        <v>0</v>
      </c>
      <c r="D187" s="13">
        <v>0</v>
      </c>
      <c r="E187" s="13">
        <v>20000</v>
      </c>
      <c r="F187" s="13">
        <v>0</v>
      </c>
      <c r="G187" s="13">
        <v>30000</v>
      </c>
      <c r="H187" s="13">
        <v>40000</v>
      </c>
    </row>
    <row r="188" spans="1:10" ht="15.75" customHeight="1" outlineLevel="1">
      <c r="A188" s="13">
        <v>1000</v>
      </c>
      <c r="B188" s="13">
        <v>0</v>
      </c>
      <c r="C188" s="13">
        <v>0</v>
      </c>
      <c r="D188" s="13">
        <v>0</v>
      </c>
      <c r="E188" s="13">
        <v>25000</v>
      </c>
      <c r="F188" s="13">
        <v>0</v>
      </c>
      <c r="G188" s="13">
        <v>35000</v>
      </c>
      <c r="H188" s="13">
        <v>45000</v>
      </c>
    </row>
    <row r="189" spans="1:10" ht="15.75" customHeight="1" outlineLevel="1">
      <c r="A189" s="13">
        <v>1500</v>
      </c>
      <c r="B189" s="13">
        <v>0</v>
      </c>
      <c r="C189" s="13">
        <v>0</v>
      </c>
      <c r="D189" s="13">
        <v>0</v>
      </c>
      <c r="E189" s="13">
        <v>30000</v>
      </c>
      <c r="F189" s="13">
        <v>0</v>
      </c>
      <c r="G189" s="13">
        <v>45000</v>
      </c>
      <c r="H189" s="13">
        <v>51000</v>
      </c>
    </row>
    <row r="190" spans="1:10" ht="15.75" customHeight="1" outlineLevel="1">
      <c r="A190" s="13">
        <v>2000</v>
      </c>
      <c r="B190" s="13">
        <v>0</v>
      </c>
      <c r="C190" s="13">
        <v>0</v>
      </c>
      <c r="D190" s="13">
        <v>0</v>
      </c>
      <c r="E190" s="13">
        <v>40000</v>
      </c>
      <c r="F190" s="13">
        <v>0</v>
      </c>
      <c r="G190" s="13">
        <v>60000</v>
      </c>
      <c r="H190" s="13">
        <v>68000</v>
      </c>
    </row>
    <row r="191" spans="1:10" ht="15.75" customHeight="1" outlineLevel="1">
      <c r="A191" s="13">
        <v>2500</v>
      </c>
      <c r="B191" s="13">
        <v>0</v>
      </c>
      <c r="C191" s="13">
        <v>0</v>
      </c>
      <c r="D191" s="13">
        <v>0</v>
      </c>
      <c r="E191" s="13">
        <v>48000</v>
      </c>
      <c r="F191" s="13">
        <v>0</v>
      </c>
      <c r="G191" s="13">
        <v>72000</v>
      </c>
      <c r="H191" s="13">
        <v>81600</v>
      </c>
    </row>
    <row r="192" spans="1:10" ht="15.75" customHeight="1" outlineLevel="1">
      <c r="A192" s="13">
        <v>3000</v>
      </c>
      <c r="B192" s="13">
        <v>0</v>
      </c>
      <c r="C192" s="13">
        <v>0</v>
      </c>
      <c r="D192" s="13">
        <v>0</v>
      </c>
      <c r="E192" s="13">
        <v>56000</v>
      </c>
      <c r="F192" s="13">
        <v>0</v>
      </c>
      <c r="G192" s="13">
        <v>84000</v>
      </c>
      <c r="H192" s="13">
        <v>95200</v>
      </c>
    </row>
    <row r="193" spans="1:9" ht="15.75" customHeight="1" outlineLevel="1">
      <c r="A193" s="13">
        <v>3500</v>
      </c>
      <c r="B193" s="13">
        <v>0</v>
      </c>
      <c r="C193" s="13">
        <v>0</v>
      </c>
      <c r="D193" s="13">
        <v>0</v>
      </c>
      <c r="E193" s="13">
        <v>64000</v>
      </c>
      <c r="F193" s="13">
        <v>0</v>
      </c>
      <c r="G193" s="13">
        <v>96000</v>
      </c>
      <c r="H193" s="13">
        <v>108800</v>
      </c>
    </row>
    <row r="194" spans="1:9" ht="15.75" customHeight="1" outlineLevel="1">
      <c r="A194" s="13">
        <v>4000</v>
      </c>
      <c r="B194" s="13">
        <v>0</v>
      </c>
      <c r="C194" s="13">
        <v>0</v>
      </c>
      <c r="D194" s="13">
        <v>0</v>
      </c>
      <c r="E194" s="13">
        <v>72000</v>
      </c>
      <c r="F194" s="13">
        <v>0</v>
      </c>
      <c r="G194" s="13">
        <v>108000</v>
      </c>
      <c r="H194" s="13">
        <v>122400</v>
      </c>
    </row>
    <row r="195" spans="1:9" ht="15.75" customHeight="1" outlineLevel="1">
      <c r="A195" s="13">
        <v>4500</v>
      </c>
      <c r="B195" s="13">
        <v>0</v>
      </c>
      <c r="C195" s="13">
        <v>0</v>
      </c>
      <c r="D195" s="13">
        <v>0</v>
      </c>
      <c r="E195" s="13">
        <v>80000</v>
      </c>
      <c r="F195" s="13">
        <v>0</v>
      </c>
      <c r="G195" s="13">
        <v>120000</v>
      </c>
      <c r="H195" s="13">
        <v>136000</v>
      </c>
    </row>
    <row r="196" spans="1:9" ht="15.75" customHeight="1" outlineLevel="1">
      <c r="A196" s="13">
        <v>5000</v>
      </c>
      <c r="B196" s="13">
        <v>0</v>
      </c>
      <c r="C196" s="13">
        <v>0</v>
      </c>
      <c r="D196" s="13">
        <v>0</v>
      </c>
      <c r="E196" s="13">
        <v>88000</v>
      </c>
      <c r="F196" s="13">
        <v>0</v>
      </c>
      <c r="G196" s="13">
        <v>132000</v>
      </c>
      <c r="H196" s="13">
        <v>149600</v>
      </c>
    </row>
    <row r="197" spans="1:9" ht="15.75" customHeight="1" outlineLevel="1">
      <c r="A197" s="13">
        <v>5500</v>
      </c>
      <c r="B197" s="13">
        <v>0</v>
      </c>
      <c r="C197" s="13">
        <v>0</v>
      </c>
      <c r="D197" s="13">
        <v>0</v>
      </c>
      <c r="E197" s="13">
        <v>96000</v>
      </c>
      <c r="F197" s="13">
        <v>0</v>
      </c>
      <c r="G197" s="13">
        <v>144000</v>
      </c>
      <c r="H197" s="13">
        <v>163200</v>
      </c>
    </row>
    <row r="198" spans="1:9" ht="15.75" customHeight="1" outlineLevel="1">
      <c r="A198" s="13">
        <v>6000</v>
      </c>
      <c r="B198" s="13">
        <v>0</v>
      </c>
      <c r="C198" s="13">
        <v>0</v>
      </c>
      <c r="D198" s="13">
        <v>0</v>
      </c>
      <c r="E198" s="13">
        <v>104000</v>
      </c>
      <c r="F198" s="13">
        <v>0</v>
      </c>
      <c r="G198" s="13">
        <v>156000</v>
      </c>
      <c r="H198" s="13">
        <v>176800</v>
      </c>
    </row>
    <row r="199" spans="1:9" ht="15.75" customHeight="1" outlineLevel="1">
      <c r="A199" s="13">
        <v>6500</v>
      </c>
      <c r="B199" s="13">
        <v>0</v>
      </c>
      <c r="C199" s="13">
        <v>0</v>
      </c>
      <c r="D199" s="13">
        <v>0</v>
      </c>
      <c r="E199" s="13">
        <v>112000</v>
      </c>
      <c r="F199" s="13">
        <v>0</v>
      </c>
      <c r="G199" s="13">
        <v>168000</v>
      </c>
      <c r="H199" s="13">
        <v>190400</v>
      </c>
    </row>
    <row r="200" spans="1:9" ht="15.75" customHeight="1" outlineLevel="1">
      <c r="A200" s="13">
        <v>7000</v>
      </c>
      <c r="B200" s="13">
        <v>0</v>
      </c>
      <c r="C200" s="13">
        <v>0</v>
      </c>
      <c r="D200" s="13">
        <v>0</v>
      </c>
      <c r="E200" s="13">
        <v>120000</v>
      </c>
      <c r="F200" s="13">
        <v>0</v>
      </c>
      <c r="G200" s="13">
        <v>180000</v>
      </c>
      <c r="H200" s="13">
        <v>204000</v>
      </c>
    </row>
    <row r="201" spans="1:9" ht="15.75" customHeight="1" outlineLevel="1">
      <c r="A201" s="13">
        <v>7500</v>
      </c>
      <c r="B201" s="13">
        <v>0</v>
      </c>
      <c r="C201" s="13">
        <v>0</v>
      </c>
      <c r="D201" s="13">
        <v>0</v>
      </c>
      <c r="E201" s="13">
        <v>128000</v>
      </c>
      <c r="F201" s="13">
        <v>0</v>
      </c>
      <c r="G201" s="13">
        <v>192000</v>
      </c>
      <c r="H201" s="13">
        <v>217600</v>
      </c>
    </row>
    <row r="202" spans="1:9" ht="15.75" customHeight="1" outlineLevel="1">
      <c r="A202" s="13">
        <v>8000</v>
      </c>
      <c r="B202" s="13">
        <v>0</v>
      </c>
      <c r="C202" s="13">
        <v>0</v>
      </c>
      <c r="D202" s="13">
        <v>0</v>
      </c>
      <c r="E202" s="13">
        <v>136000</v>
      </c>
      <c r="F202" s="13">
        <v>0</v>
      </c>
      <c r="G202" s="13">
        <v>204000</v>
      </c>
      <c r="H202" s="13">
        <v>231200</v>
      </c>
    </row>
    <row r="203" spans="1:9" ht="15.75" customHeight="1" outlineLevel="1">
      <c r="A203" s="13">
        <v>8500</v>
      </c>
      <c r="B203" s="13">
        <v>0</v>
      </c>
      <c r="C203" s="13">
        <v>0</v>
      </c>
      <c r="D203" s="13">
        <v>0</v>
      </c>
      <c r="E203" s="13">
        <v>144000</v>
      </c>
      <c r="F203" s="13">
        <v>0</v>
      </c>
      <c r="G203" s="13">
        <v>216000</v>
      </c>
      <c r="H203" s="13">
        <v>244800</v>
      </c>
    </row>
    <row r="204" spans="1:9" ht="15.75" customHeight="1" outlineLevel="1">
      <c r="A204" s="13">
        <v>9000</v>
      </c>
      <c r="B204" s="13">
        <v>0</v>
      </c>
      <c r="C204" s="13">
        <v>0</v>
      </c>
      <c r="D204" s="13">
        <v>0</v>
      </c>
      <c r="E204" s="13">
        <v>152000</v>
      </c>
      <c r="F204" s="13">
        <v>0</v>
      </c>
      <c r="G204" s="13">
        <v>228000</v>
      </c>
      <c r="H204" s="13">
        <v>258400</v>
      </c>
    </row>
    <row r="205" spans="1:9" ht="15.75" customHeight="1" outlineLevel="1">
      <c r="A205" s="13">
        <v>9500</v>
      </c>
      <c r="B205" s="13">
        <v>0</v>
      </c>
      <c r="C205" s="13">
        <v>0</v>
      </c>
      <c r="D205" s="13">
        <v>0</v>
      </c>
      <c r="E205" s="13">
        <v>160000</v>
      </c>
      <c r="F205" s="13">
        <v>0</v>
      </c>
      <c r="G205" s="13">
        <v>240000</v>
      </c>
      <c r="H205" s="13">
        <v>272000</v>
      </c>
    </row>
    <row r="206" spans="1:9" ht="15.75" customHeight="1" outlineLevel="1">
      <c r="A206" s="13">
        <v>100000</v>
      </c>
      <c r="B206" s="13">
        <v>0</v>
      </c>
      <c r="C206" s="13">
        <v>0</v>
      </c>
      <c r="D206" s="13">
        <v>17</v>
      </c>
      <c r="E206" s="13">
        <v>0</v>
      </c>
      <c r="F206" s="13">
        <v>26</v>
      </c>
      <c r="G206" s="13">
        <v>0</v>
      </c>
      <c r="H206" s="13">
        <v>29</v>
      </c>
      <c r="I206" s="13">
        <v>0</v>
      </c>
    </row>
    <row r="207" spans="1:9" ht="15.75" customHeight="1" outlineLevel="1"/>
    <row r="208" spans="1:9" ht="15.75" customHeight="1" outlineLevel="1"/>
    <row r="209" spans="1:9" ht="15.75" customHeight="1" outlineLevel="1"/>
    <row r="210" spans="1:9" ht="15.75" customHeight="1" outlineLevel="1"/>
    <row r="211" spans="1:9" ht="15.75" customHeight="1" outlineLevel="1"/>
    <row r="212" spans="1:9" ht="15.75" customHeight="1" outlineLevel="1"/>
    <row r="213" spans="1:9" ht="15.75" customHeight="1" outlineLevel="1"/>
    <row r="214" spans="1:9" ht="15.75" customHeight="1" outlineLevel="1"/>
    <row r="215" spans="1:9" ht="15.75" customHeight="1" outlineLevel="1"/>
    <row r="216" spans="1:9" ht="15.75" customHeight="1" outlineLevel="1"/>
    <row r="217" spans="1:9" ht="15.75" customHeight="1" outlineLevel="1"/>
    <row r="218" spans="1:9" ht="15.75" customHeight="1" outlineLevel="1"/>
    <row r="219" spans="1:9" ht="15.75" customHeight="1" outlineLevel="1"/>
    <row r="220" spans="1:9" ht="15.75" customHeight="1" outlineLevel="1"/>
    <row r="221" spans="1:9" ht="15.75" customHeight="1" collapsed="1">
      <c r="A221" s="45" t="s">
        <v>215</v>
      </c>
      <c r="B221" s="45" t="s">
        <v>106</v>
      </c>
      <c r="C221" s="13" t="s">
        <v>207</v>
      </c>
      <c r="D221" s="45" t="s">
        <v>208</v>
      </c>
      <c r="E221" s="13" t="s">
        <v>209</v>
      </c>
      <c r="F221" s="45" t="s">
        <v>210</v>
      </c>
      <c r="G221" s="13" t="s">
        <v>211</v>
      </c>
      <c r="H221" s="45" t="s">
        <v>212</v>
      </c>
      <c r="I221" s="13" t="s">
        <v>213</v>
      </c>
    </row>
    <row r="222" spans="1:9" ht="15.75" hidden="1" customHeight="1" outlineLevel="1">
      <c r="A222" s="13" t="s">
        <v>216</v>
      </c>
      <c r="B222" s="13">
        <v>0</v>
      </c>
      <c r="C222" s="13">
        <v>1</v>
      </c>
      <c r="D222" s="13">
        <v>10</v>
      </c>
      <c r="E222" s="13">
        <v>11</v>
      </c>
      <c r="F222" s="13">
        <v>20</v>
      </c>
      <c r="G222" s="13">
        <v>21</v>
      </c>
      <c r="H222" s="13">
        <v>30</v>
      </c>
      <c r="I222" s="13">
        <v>31</v>
      </c>
    </row>
    <row r="223" spans="1:9" ht="15.75" hidden="1" customHeight="1" outlineLevel="1">
      <c r="A223" s="13">
        <v>1</v>
      </c>
      <c r="B223" s="13">
        <v>0</v>
      </c>
      <c r="C223" s="13">
        <v>0</v>
      </c>
      <c r="D223" s="13">
        <v>0</v>
      </c>
      <c r="E223" s="13">
        <v>15000</v>
      </c>
      <c r="F223" s="13">
        <v>0</v>
      </c>
      <c r="G223" s="13">
        <v>20000</v>
      </c>
      <c r="H223" s="13">
        <v>0</v>
      </c>
      <c r="I223" s="13">
        <v>25000</v>
      </c>
    </row>
    <row r="224" spans="1:9" ht="15.75" hidden="1" customHeight="1" outlineLevel="1">
      <c r="A224" s="13">
        <v>100</v>
      </c>
      <c r="B224" s="13">
        <v>0</v>
      </c>
      <c r="C224" s="13">
        <v>0</v>
      </c>
      <c r="D224" s="13">
        <v>0</v>
      </c>
      <c r="E224" s="13">
        <v>15000</v>
      </c>
      <c r="F224" s="13">
        <v>0</v>
      </c>
      <c r="G224" s="13">
        <v>25000</v>
      </c>
      <c r="H224" s="13">
        <v>0</v>
      </c>
      <c r="I224" s="13">
        <v>30000</v>
      </c>
    </row>
    <row r="225" spans="1:9" ht="15.75" hidden="1" customHeight="1" outlineLevel="1">
      <c r="A225" s="13">
        <v>400</v>
      </c>
      <c r="B225" s="13">
        <v>0</v>
      </c>
      <c r="C225" s="13">
        <v>0</v>
      </c>
      <c r="D225" s="13">
        <v>0</v>
      </c>
      <c r="E225" s="13">
        <v>15000</v>
      </c>
      <c r="F225" s="13">
        <v>0</v>
      </c>
      <c r="G225" s="13">
        <v>25000</v>
      </c>
      <c r="H225" s="13">
        <v>0</v>
      </c>
      <c r="I225" s="13">
        <v>30000</v>
      </c>
    </row>
    <row r="226" spans="1:9" ht="15.75" hidden="1" customHeight="1" outlineLevel="1">
      <c r="A226" s="13">
        <v>600</v>
      </c>
      <c r="B226" s="13">
        <v>0</v>
      </c>
      <c r="C226" s="13">
        <v>0</v>
      </c>
      <c r="D226" s="13">
        <v>0</v>
      </c>
      <c r="E226" s="13">
        <v>20000</v>
      </c>
      <c r="F226" s="13">
        <v>0</v>
      </c>
      <c r="G226" s="13">
        <v>30000</v>
      </c>
      <c r="H226" s="13">
        <v>0</v>
      </c>
      <c r="I226" s="13">
        <v>40000</v>
      </c>
    </row>
    <row r="227" spans="1:9" ht="15.75" hidden="1" customHeight="1" outlineLevel="1">
      <c r="A227" s="13">
        <v>800</v>
      </c>
      <c r="B227" s="13">
        <v>0</v>
      </c>
      <c r="C227" s="13">
        <v>0</v>
      </c>
      <c r="D227" s="13">
        <v>0</v>
      </c>
      <c r="E227" s="13">
        <v>20000</v>
      </c>
      <c r="F227" s="13">
        <v>0</v>
      </c>
      <c r="G227" s="13">
        <v>30000</v>
      </c>
      <c r="H227" s="13">
        <v>0</v>
      </c>
      <c r="I227" s="13">
        <v>40000</v>
      </c>
    </row>
    <row r="228" spans="1:9" ht="15.75" hidden="1" customHeight="1" outlineLevel="1">
      <c r="A228" s="13">
        <v>1000</v>
      </c>
      <c r="B228" s="13">
        <v>0</v>
      </c>
      <c r="C228" s="13">
        <v>0</v>
      </c>
      <c r="D228" s="13">
        <v>0</v>
      </c>
      <c r="E228" s="13">
        <v>25000</v>
      </c>
      <c r="F228" s="13">
        <v>0</v>
      </c>
      <c r="G228" s="13">
        <v>35000</v>
      </c>
      <c r="H228" s="13">
        <v>0</v>
      </c>
      <c r="I228" s="13">
        <v>45000</v>
      </c>
    </row>
    <row r="229" spans="1:9" ht="15.75" hidden="1" customHeight="1" outlineLevel="1">
      <c r="A229" s="13">
        <v>1500</v>
      </c>
      <c r="B229" s="13">
        <v>0</v>
      </c>
      <c r="C229" s="13">
        <v>0</v>
      </c>
      <c r="D229" s="13">
        <v>0</v>
      </c>
      <c r="E229" s="13">
        <v>30000</v>
      </c>
      <c r="F229" s="13">
        <v>0</v>
      </c>
      <c r="G229" s="13">
        <v>45000</v>
      </c>
      <c r="H229" s="13">
        <v>0</v>
      </c>
      <c r="I229" s="13">
        <v>51000</v>
      </c>
    </row>
    <row r="230" spans="1:9" ht="15.75" hidden="1" customHeight="1" outlineLevel="1">
      <c r="A230" s="13">
        <v>2000</v>
      </c>
      <c r="B230" s="13">
        <v>0</v>
      </c>
      <c r="C230" s="13">
        <v>0</v>
      </c>
      <c r="D230" s="13">
        <v>0</v>
      </c>
      <c r="E230" s="13">
        <v>40000</v>
      </c>
      <c r="F230" s="13">
        <v>0</v>
      </c>
      <c r="G230" s="13">
        <v>60000</v>
      </c>
      <c r="H230" s="13">
        <v>0</v>
      </c>
      <c r="I230" s="13">
        <v>68000</v>
      </c>
    </row>
    <row r="231" spans="1:9" ht="15.75" hidden="1" customHeight="1" outlineLevel="1">
      <c r="A231" s="13">
        <v>2500</v>
      </c>
      <c r="B231" s="13">
        <v>0</v>
      </c>
      <c r="C231" s="13">
        <v>0</v>
      </c>
      <c r="D231" s="13">
        <v>0</v>
      </c>
      <c r="E231" s="13">
        <v>48000</v>
      </c>
      <c r="F231" s="13">
        <v>0</v>
      </c>
      <c r="G231" s="13">
        <v>72000</v>
      </c>
      <c r="H231" s="13">
        <v>0</v>
      </c>
      <c r="I231" s="13">
        <v>81600</v>
      </c>
    </row>
    <row r="232" spans="1:9" ht="15.75" hidden="1" customHeight="1" outlineLevel="1">
      <c r="A232" s="13">
        <v>3000</v>
      </c>
      <c r="B232" s="13">
        <v>0</v>
      </c>
      <c r="C232" s="13">
        <v>0</v>
      </c>
      <c r="D232" s="13">
        <v>0</v>
      </c>
      <c r="E232" s="13">
        <v>56000</v>
      </c>
      <c r="F232" s="13">
        <v>0</v>
      </c>
      <c r="G232" s="13">
        <v>84000</v>
      </c>
      <c r="H232" s="13">
        <v>0</v>
      </c>
      <c r="I232" s="13">
        <v>95200</v>
      </c>
    </row>
    <row r="233" spans="1:9" ht="15.75" hidden="1" customHeight="1" outlineLevel="1">
      <c r="A233" s="13">
        <v>3500</v>
      </c>
      <c r="B233" s="13">
        <v>0</v>
      </c>
      <c r="C233" s="13">
        <v>0</v>
      </c>
      <c r="D233" s="13">
        <v>0</v>
      </c>
      <c r="E233" s="13">
        <v>64000</v>
      </c>
      <c r="F233" s="13">
        <v>0</v>
      </c>
      <c r="G233" s="13">
        <v>96000</v>
      </c>
      <c r="H233" s="13">
        <v>0</v>
      </c>
      <c r="I233" s="13">
        <v>108800</v>
      </c>
    </row>
    <row r="234" spans="1:9" ht="15.75" hidden="1" customHeight="1" outlineLevel="1">
      <c r="A234" s="13">
        <v>4000</v>
      </c>
      <c r="B234" s="13">
        <v>0</v>
      </c>
      <c r="C234" s="13">
        <v>0</v>
      </c>
      <c r="D234" s="13">
        <v>0</v>
      </c>
      <c r="E234" s="13">
        <v>72000</v>
      </c>
      <c r="F234" s="13">
        <v>0</v>
      </c>
      <c r="G234" s="13">
        <v>108000</v>
      </c>
      <c r="H234" s="13">
        <v>0</v>
      </c>
      <c r="I234" s="13">
        <v>122400</v>
      </c>
    </row>
    <row r="235" spans="1:9" ht="15.75" hidden="1" customHeight="1" outlineLevel="1">
      <c r="A235" s="13">
        <v>4500</v>
      </c>
      <c r="B235" s="13">
        <v>0</v>
      </c>
      <c r="C235" s="13">
        <v>0</v>
      </c>
      <c r="D235" s="13">
        <v>0</v>
      </c>
      <c r="E235" s="13">
        <v>80000</v>
      </c>
      <c r="F235" s="13">
        <v>0</v>
      </c>
      <c r="G235" s="13">
        <v>120000</v>
      </c>
      <c r="H235" s="13">
        <v>0</v>
      </c>
      <c r="I235" s="13">
        <v>136000</v>
      </c>
    </row>
    <row r="236" spans="1:9" ht="15.75" hidden="1" customHeight="1" outlineLevel="1">
      <c r="A236" s="13">
        <v>5000</v>
      </c>
      <c r="B236" s="13">
        <v>0</v>
      </c>
      <c r="C236" s="13">
        <v>0</v>
      </c>
      <c r="D236" s="13">
        <v>0</v>
      </c>
      <c r="E236" s="13">
        <v>88000</v>
      </c>
      <c r="F236" s="13">
        <v>0</v>
      </c>
      <c r="G236" s="13">
        <v>132000</v>
      </c>
      <c r="H236" s="13">
        <v>0</v>
      </c>
      <c r="I236" s="13">
        <v>149600</v>
      </c>
    </row>
    <row r="237" spans="1:9" ht="15.75" hidden="1" customHeight="1" outlineLevel="1">
      <c r="A237" s="13">
        <v>5500</v>
      </c>
      <c r="B237" s="13">
        <v>0</v>
      </c>
      <c r="C237" s="13">
        <v>0</v>
      </c>
      <c r="D237" s="13">
        <v>0</v>
      </c>
      <c r="E237" s="13">
        <v>96000</v>
      </c>
      <c r="F237" s="13">
        <v>0</v>
      </c>
      <c r="G237" s="13">
        <v>144000</v>
      </c>
      <c r="H237" s="13">
        <v>0</v>
      </c>
      <c r="I237" s="13">
        <v>163200</v>
      </c>
    </row>
    <row r="238" spans="1:9" ht="15.75" hidden="1" customHeight="1" outlineLevel="1">
      <c r="A238" s="13">
        <v>6000</v>
      </c>
      <c r="B238" s="13">
        <v>0</v>
      </c>
      <c r="C238" s="13">
        <v>0</v>
      </c>
      <c r="D238" s="13">
        <v>0</v>
      </c>
      <c r="E238" s="13">
        <v>104000</v>
      </c>
      <c r="F238" s="13">
        <v>0</v>
      </c>
      <c r="G238" s="13">
        <v>156000</v>
      </c>
      <c r="H238" s="13">
        <v>0</v>
      </c>
      <c r="I238" s="13">
        <v>176800</v>
      </c>
    </row>
    <row r="239" spans="1:9" ht="15.75" hidden="1" customHeight="1" outlineLevel="1">
      <c r="A239" s="13">
        <v>6500</v>
      </c>
      <c r="B239" s="13">
        <v>0</v>
      </c>
      <c r="C239" s="13">
        <v>0</v>
      </c>
      <c r="D239" s="13">
        <v>0</v>
      </c>
      <c r="E239" s="13">
        <v>112000</v>
      </c>
      <c r="F239" s="13">
        <v>0</v>
      </c>
      <c r="G239" s="13">
        <v>168000</v>
      </c>
      <c r="H239" s="13">
        <v>0</v>
      </c>
      <c r="I239" s="13">
        <v>190400</v>
      </c>
    </row>
    <row r="240" spans="1:9" ht="15.75" hidden="1" customHeight="1" outlineLevel="1">
      <c r="A240" s="13">
        <v>7000</v>
      </c>
      <c r="B240" s="13">
        <v>0</v>
      </c>
      <c r="C240" s="13">
        <v>0</v>
      </c>
      <c r="D240" s="13">
        <v>0</v>
      </c>
      <c r="E240" s="13">
        <v>120000</v>
      </c>
      <c r="F240" s="13">
        <v>0</v>
      </c>
      <c r="G240" s="13">
        <v>180000</v>
      </c>
      <c r="H240" s="13">
        <v>0</v>
      </c>
      <c r="I240" s="13">
        <v>204000</v>
      </c>
    </row>
    <row r="241" spans="1:9" ht="15.75" hidden="1" customHeight="1" outlineLevel="1">
      <c r="A241" s="13">
        <v>7500</v>
      </c>
      <c r="B241" s="13">
        <v>0</v>
      </c>
      <c r="C241" s="13">
        <v>0</v>
      </c>
      <c r="D241" s="13">
        <v>0</v>
      </c>
      <c r="E241" s="13">
        <v>128000</v>
      </c>
      <c r="F241" s="13">
        <v>0</v>
      </c>
      <c r="G241" s="13">
        <v>192000</v>
      </c>
      <c r="H241" s="13">
        <v>0</v>
      </c>
      <c r="I241" s="13">
        <v>217600</v>
      </c>
    </row>
    <row r="242" spans="1:9" ht="15.75" hidden="1" customHeight="1" outlineLevel="1">
      <c r="A242" s="13">
        <v>8000</v>
      </c>
      <c r="B242" s="13">
        <v>0</v>
      </c>
      <c r="C242" s="13">
        <v>0</v>
      </c>
      <c r="D242" s="13">
        <v>0</v>
      </c>
      <c r="E242" s="13">
        <v>136000</v>
      </c>
      <c r="F242" s="13">
        <v>0</v>
      </c>
      <c r="G242" s="13">
        <v>204000</v>
      </c>
      <c r="H242" s="13">
        <v>0</v>
      </c>
      <c r="I242" s="13">
        <v>231200</v>
      </c>
    </row>
    <row r="243" spans="1:9" ht="15.75" hidden="1" customHeight="1" outlineLevel="1">
      <c r="A243" s="13">
        <v>8500</v>
      </c>
      <c r="B243" s="13">
        <v>0</v>
      </c>
      <c r="C243" s="13">
        <v>0</v>
      </c>
      <c r="D243" s="13">
        <v>0</v>
      </c>
      <c r="E243" s="13">
        <v>144000</v>
      </c>
      <c r="F243" s="13">
        <v>0</v>
      </c>
      <c r="G243" s="13">
        <v>216000</v>
      </c>
      <c r="H243" s="13">
        <v>0</v>
      </c>
      <c r="I243" s="13">
        <v>244800</v>
      </c>
    </row>
    <row r="244" spans="1:9" ht="15.75" hidden="1" customHeight="1" outlineLevel="1">
      <c r="A244" s="13">
        <v>9000</v>
      </c>
      <c r="B244" s="13">
        <v>0</v>
      </c>
      <c r="C244" s="13">
        <v>0</v>
      </c>
      <c r="D244" s="13">
        <v>0</v>
      </c>
      <c r="E244" s="13">
        <v>152000</v>
      </c>
      <c r="F244" s="13">
        <v>0</v>
      </c>
      <c r="G244" s="13">
        <v>228000</v>
      </c>
      <c r="H244" s="13">
        <v>0</v>
      </c>
      <c r="I244" s="13">
        <v>258400</v>
      </c>
    </row>
    <row r="245" spans="1:9" ht="15.75" hidden="1" customHeight="1" outlineLevel="1">
      <c r="A245" s="13">
        <v>9500</v>
      </c>
      <c r="B245" s="13">
        <v>0</v>
      </c>
      <c r="C245" s="13">
        <v>0</v>
      </c>
      <c r="D245" s="13">
        <v>0</v>
      </c>
      <c r="E245" s="13">
        <v>160000</v>
      </c>
      <c r="F245" s="13">
        <v>0</v>
      </c>
      <c r="G245" s="13">
        <v>240000</v>
      </c>
      <c r="H245" s="13">
        <v>0</v>
      </c>
      <c r="I245" s="13">
        <v>272000</v>
      </c>
    </row>
    <row r="246" spans="1:9" ht="15.75" hidden="1" customHeight="1" outlineLevel="1">
      <c r="A246" s="13">
        <v>100000</v>
      </c>
      <c r="B246" s="13">
        <v>0</v>
      </c>
      <c r="C246" s="13">
        <v>0</v>
      </c>
      <c r="D246" s="13">
        <v>17</v>
      </c>
      <c r="E246" s="13">
        <v>0</v>
      </c>
      <c r="F246" s="13">
        <v>26</v>
      </c>
      <c r="G246" s="13">
        <v>0</v>
      </c>
      <c r="H246" s="13">
        <v>29</v>
      </c>
      <c r="I246" s="13">
        <v>0</v>
      </c>
    </row>
    <row r="247" spans="1:9" ht="15.75" hidden="1" customHeight="1" outlineLevel="1"/>
    <row r="248" spans="1:9" ht="15.75" hidden="1" customHeight="1" outlineLevel="1"/>
    <row r="249" spans="1:9" ht="15.75" hidden="1" customHeight="1" outlineLevel="1"/>
    <row r="250" spans="1:9" ht="15.75" hidden="1" customHeight="1" outlineLevel="1"/>
    <row r="251" spans="1:9" ht="15.75" hidden="1" customHeight="1" outlineLevel="1"/>
    <row r="252" spans="1:9" ht="15.75" hidden="1" customHeight="1" outlineLevel="1"/>
    <row r="253" spans="1:9" ht="15.75" hidden="1" customHeight="1" outlineLevel="1"/>
    <row r="254" spans="1:9" ht="15.75" hidden="1" customHeight="1" outlineLevel="1"/>
    <row r="255" spans="1:9" ht="15.75" hidden="1" customHeight="1" outlineLevel="1"/>
    <row r="256" spans="1:9" ht="15.75" hidden="1" customHeight="1" outlineLevel="1"/>
    <row r="257" spans="1:5" ht="15.75" hidden="1" customHeight="1" outlineLevel="1"/>
    <row r="258" spans="1:5" ht="15.75" hidden="1" customHeight="1" outlineLevel="1"/>
    <row r="259" spans="1:5" ht="15.75" hidden="1" customHeight="1" outlineLevel="1"/>
    <row r="260" spans="1:5" ht="15.75" hidden="1" customHeight="1" outlineLevel="1"/>
    <row r="261" spans="1:5" ht="15.75" customHeight="1">
      <c r="A261" s="12" t="s">
        <v>217</v>
      </c>
      <c r="B261" s="12" t="s">
        <v>218</v>
      </c>
      <c r="C261" s="13" t="s">
        <v>219</v>
      </c>
      <c r="D261" s="12" t="s">
        <v>220</v>
      </c>
      <c r="E261" s="12" t="s">
        <v>221</v>
      </c>
    </row>
    <row r="262" spans="1:5" ht="15.75" customHeight="1" outlineLevel="1">
      <c r="A262" s="50" t="s">
        <v>222</v>
      </c>
      <c r="B262" s="51">
        <v>0</v>
      </c>
      <c r="C262" s="13">
        <v>1</v>
      </c>
      <c r="D262" s="52">
        <v>10</v>
      </c>
      <c r="E262" s="52">
        <v>11</v>
      </c>
    </row>
    <row r="263" spans="1:5" ht="15.75" customHeight="1" outlineLevel="1">
      <c r="A263" s="53">
        <v>1</v>
      </c>
      <c r="B263" s="50">
        <v>0</v>
      </c>
      <c r="C263" s="50">
        <v>0</v>
      </c>
      <c r="D263" s="50">
        <v>0</v>
      </c>
      <c r="E263" s="21">
        <v>2000</v>
      </c>
    </row>
    <row r="264" spans="1:5" ht="15.75" customHeight="1" outlineLevel="1">
      <c r="A264" s="53">
        <v>100</v>
      </c>
      <c r="B264" s="50">
        <v>0</v>
      </c>
      <c r="C264" s="50">
        <v>0</v>
      </c>
      <c r="D264" s="50">
        <v>0</v>
      </c>
      <c r="E264" s="21">
        <v>2000</v>
      </c>
    </row>
    <row r="265" spans="1:5" ht="15.75" customHeight="1" outlineLevel="1">
      <c r="A265" s="53">
        <v>200</v>
      </c>
      <c r="B265" s="50">
        <v>0</v>
      </c>
      <c r="C265" s="50">
        <v>0</v>
      </c>
      <c r="D265" s="50">
        <v>0</v>
      </c>
      <c r="E265" s="21">
        <v>3000</v>
      </c>
    </row>
    <row r="266" spans="1:5" ht="15.75" customHeight="1" outlineLevel="1">
      <c r="A266" s="53">
        <v>300</v>
      </c>
      <c r="B266" s="50">
        <v>0</v>
      </c>
      <c r="C266" s="50">
        <v>0</v>
      </c>
      <c r="D266" s="50">
        <v>0</v>
      </c>
      <c r="E266" s="21">
        <v>4000</v>
      </c>
    </row>
    <row r="267" spans="1:5" ht="15.75" customHeight="1" outlineLevel="1">
      <c r="A267" s="53">
        <v>400</v>
      </c>
      <c r="B267" s="50">
        <v>0</v>
      </c>
      <c r="C267" s="50">
        <v>0</v>
      </c>
      <c r="D267" s="50">
        <v>0</v>
      </c>
      <c r="E267" s="21">
        <v>5000</v>
      </c>
    </row>
    <row r="268" spans="1:5" ht="15.75" customHeight="1" outlineLevel="1">
      <c r="A268" s="53">
        <v>500</v>
      </c>
      <c r="B268" s="50">
        <v>0</v>
      </c>
      <c r="C268" s="50">
        <v>0</v>
      </c>
      <c r="D268" s="50">
        <v>0</v>
      </c>
      <c r="E268" s="21">
        <v>6000</v>
      </c>
    </row>
    <row r="269" spans="1:5" ht="15.75" customHeight="1" outlineLevel="1">
      <c r="A269" s="53">
        <v>600</v>
      </c>
      <c r="B269" s="50">
        <v>0</v>
      </c>
      <c r="C269" s="50">
        <v>0</v>
      </c>
      <c r="D269" s="50">
        <v>0</v>
      </c>
      <c r="E269" s="21">
        <v>7000</v>
      </c>
    </row>
    <row r="270" spans="1:5" ht="15.75" customHeight="1" outlineLevel="1">
      <c r="A270" s="53">
        <v>700</v>
      </c>
      <c r="B270" s="50">
        <v>0</v>
      </c>
      <c r="C270" s="50">
        <v>0</v>
      </c>
      <c r="D270" s="50">
        <v>0</v>
      </c>
      <c r="E270" s="21">
        <v>8000</v>
      </c>
    </row>
    <row r="271" spans="1:5" ht="15.75" customHeight="1" outlineLevel="1">
      <c r="A271" s="53">
        <v>800</v>
      </c>
      <c r="B271" s="50">
        <v>0</v>
      </c>
      <c r="C271" s="50">
        <v>0</v>
      </c>
      <c r="D271" s="50">
        <v>0</v>
      </c>
      <c r="E271" s="21">
        <v>9000</v>
      </c>
    </row>
    <row r="272" spans="1:5" ht="15.75" customHeight="1" outlineLevel="1">
      <c r="A272" s="53">
        <v>900</v>
      </c>
      <c r="B272" s="50">
        <v>0</v>
      </c>
      <c r="C272" s="50">
        <v>0</v>
      </c>
      <c r="D272" s="50">
        <v>0</v>
      </c>
      <c r="E272" s="21">
        <v>10000</v>
      </c>
    </row>
    <row r="273" spans="1:5" ht="15.75" customHeight="1" outlineLevel="1">
      <c r="A273" s="53">
        <v>1000</v>
      </c>
      <c r="B273" s="50">
        <v>0</v>
      </c>
      <c r="C273" s="50">
        <v>0</v>
      </c>
      <c r="D273" s="50">
        <v>0</v>
      </c>
      <c r="E273" s="21">
        <v>11000</v>
      </c>
    </row>
    <row r="274" spans="1:5" ht="15.75" customHeight="1" outlineLevel="1">
      <c r="A274" s="53">
        <v>1500</v>
      </c>
      <c r="B274" s="50">
        <v>0</v>
      </c>
      <c r="C274" s="50">
        <v>0</v>
      </c>
      <c r="D274" s="50">
        <v>0</v>
      </c>
      <c r="E274" s="21">
        <v>17000</v>
      </c>
    </row>
    <row r="275" spans="1:5" ht="15.75" customHeight="1" outlineLevel="1">
      <c r="A275" s="53">
        <v>2000</v>
      </c>
      <c r="B275" s="50">
        <v>0</v>
      </c>
      <c r="C275" s="50">
        <v>0</v>
      </c>
      <c r="D275" s="50">
        <v>0</v>
      </c>
      <c r="E275" s="21">
        <v>22000</v>
      </c>
    </row>
    <row r="276" spans="1:5" ht="15.75" customHeight="1" outlineLevel="1">
      <c r="A276" s="53">
        <v>2500</v>
      </c>
      <c r="B276" s="50">
        <v>0</v>
      </c>
      <c r="C276" s="50">
        <v>0</v>
      </c>
      <c r="D276" s="50">
        <v>0</v>
      </c>
      <c r="E276" s="21">
        <v>28000</v>
      </c>
    </row>
    <row r="277" spans="1:5" ht="15.75" customHeight="1" outlineLevel="1">
      <c r="A277" s="53">
        <v>3000</v>
      </c>
      <c r="B277" s="50">
        <v>0</v>
      </c>
      <c r="C277" s="50">
        <v>0</v>
      </c>
      <c r="D277" s="50">
        <v>0</v>
      </c>
      <c r="E277" s="21">
        <v>33000</v>
      </c>
    </row>
    <row r="278" spans="1:5" ht="15.75" customHeight="1" outlineLevel="1">
      <c r="A278" s="53">
        <v>3500</v>
      </c>
      <c r="B278" s="50">
        <v>0</v>
      </c>
      <c r="C278" s="50">
        <v>0</v>
      </c>
      <c r="D278" s="50">
        <v>0</v>
      </c>
      <c r="E278" s="21">
        <v>39000</v>
      </c>
    </row>
    <row r="279" spans="1:5" ht="15.75" customHeight="1" outlineLevel="1">
      <c r="A279" s="53">
        <v>4000</v>
      </c>
      <c r="B279" s="50">
        <v>0</v>
      </c>
      <c r="C279" s="50">
        <v>0</v>
      </c>
      <c r="D279" s="50">
        <v>0</v>
      </c>
      <c r="E279" s="21">
        <v>44000</v>
      </c>
    </row>
    <row r="280" spans="1:5" ht="15.75" customHeight="1" outlineLevel="1">
      <c r="A280" s="53">
        <v>4500</v>
      </c>
      <c r="B280" s="50">
        <v>0</v>
      </c>
      <c r="C280" s="50">
        <v>0</v>
      </c>
      <c r="D280" s="50">
        <v>0</v>
      </c>
      <c r="E280" s="21">
        <v>50000</v>
      </c>
    </row>
    <row r="281" spans="1:5" ht="15.75" customHeight="1" outlineLevel="1">
      <c r="A281" s="53">
        <v>5000</v>
      </c>
      <c r="B281" s="50">
        <v>0</v>
      </c>
      <c r="C281" s="50">
        <v>0</v>
      </c>
      <c r="D281" s="50">
        <v>0</v>
      </c>
      <c r="E281" s="21">
        <v>55000</v>
      </c>
    </row>
    <row r="282" spans="1:5" ht="15.75" customHeight="1" outlineLevel="1">
      <c r="A282" s="53">
        <v>6000</v>
      </c>
      <c r="B282" s="50">
        <v>0</v>
      </c>
      <c r="C282" s="50">
        <v>0</v>
      </c>
      <c r="D282" s="50">
        <v>0</v>
      </c>
      <c r="E282" s="21">
        <v>66000</v>
      </c>
    </row>
    <row r="283" spans="1:5" ht="15.75" customHeight="1" outlineLevel="1">
      <c r="A283" s="53">
        <v>7000</v>
      </c>
      <c r="B283" s="50">
        <v>0</v>
      </c>
      <c r="C283" s="50">
        <v>0</v>
      </c>
      <c r="D283" s="50">
        <v>0</v>
      </c>
      <c r="E283" s="21">
        <v>77000</v>
      </c>
    </row>
    <row r="284" spans="1:5" ht="15.75" customHeight="1" outlineLevel="1">
      <c r="A284" s="53">
        <v>8000</v>
      </c>
      <c r="B284" s="50">
        <v>0</v>
      </c>
      <c r="C284" s="50">
        <v>0</v>
      </c>
      <c r="D284" s="50">
        <v>0</v>
      </c>
      <c r="E284" s="21">
        <v>88000</v>
      </c>
    </row>
    <row r="285" spans="1:5" ht="15.75" customHeight="1" outlineLevel="1">
      <c r="A285" s="53">
        <v>9000</v>
      </c>
      <c r="B285" s="50">
        <v>0</v>
      </c>
      <c r="C285" s="50">
        <v>0</v>
      </c>
      <c r="D285" s="50">
        <v>0</v>
      </c>
      <c r="E285" s="21">
        <v>99000</v>
      </c>
    </row>
    <row r="286" spans="1:5" ht="15.75" customHeight="1" outlineLevel="1">
      <c r="A286" s="53">
        <v>100000</v>
      </c>
      <c r="B286" s="50">
        <v>0</v>
      </c>
      <c r="C286" s="50">
        <v>0</v>
      </c>
      <c r="D286" s="50">
        <v>11</v>
      </c>
      <c r="E286" s="21">
        <v>0</v>
      </c>
    </row>
    <row r="287" spans="1:5" ht="15.75" customHeight="1" outlineLevel="1"/>
    <row r="288" spans="1:5" ht="15.75" customHeight="1" outlineLevel="1"/>
    <row r="289" spans="1:6" ht="15.75" customHeight="1" outlineLevel="1"/>
    <row r="290" spans="1:6" ht="15.75" customHeight="1" outlineLevel="1"/>
    <row r="291" spans="1:6" ht="15.75" customHeight="1" outlineLevel="1"/>
    <row r="292" spans="1:6" ht="15.75" customHeight="1" outlineLevel="1"/>
    <row r="293" spans="1:6" ht="15.75" customHeight="1" outlineLevel="1"/>
    <row r="294" spans="1:6" ht="15.75" customHeight="1" outlineLevel="1"/>
    <row r="295" spans="1:6" ht="15.75" customHeight="1" outlineLevel="1"/>
    <row r="296" spans="1:6" ht="15.75" customHeight="1" outlineLevel="1"/>
    <row r="297" spans="1:6" ht="15.75" customHeight="1" outlineLevel="1"/>
    <row r="298" spans="1:6" ht="15.75" customHeight="1" outlineLevel="1"/>
    <row r="299" spans="1:6" ht="15.75" customHeight="1" outlineLevel="1"/>
    <row r="300" spans="1:6" ht="15.75" customHeight="1" outlineLevel="1"/>
    <row r="301" spans="1:6" ht="15.75" customHeight="1" collapsed="1">
      <c r="A301" s="45" t="s">
        <v>223</v>
      </c>
      <c r="B301" s="45" t="s">
        <v>106</v>
      </c>
      <c r="C301" s="45" t="s">
        <v>224</v>
      </c>
      <c r="D301" s="45" t="s">
        <v>225</v>
      </c>
      <c r="E301" s="45" t="s">
        <v>226</v>
      </c>
      <c r="F301" s="12" t="s">
        <v>227</v>
      </c>
    </row>
    <row r="302" spans="1:6" ht="15.75" hidden="1" customHeight="1" outlineLevel="1">
      <c r="A302" s="13" t="s">
        <v>228</v>
      </c>
      <c r="B302" s="13">
        <v>0</v>
      </c>
      <c r="C302" s="13">
        <v>10</v>
      </c>
      <c r="D302" s="13">
        <v>20</v>
      </c>
      <c r="E302" s="13">
        <v>30</v>
      </c>
      <c r="F302" s="13">
        <v>40</v>
      </c>
    </row>
    <row r="303" spans="1:6" ht="15.75" hidden="1" customHeight="1" outlineLevel="1">
      <c r="A303" s="16">
        <v>1</v>
      </c>
      <c r="B303" s="13">
        <v>0</v>
      </c>
      <c r="C303" s="21">
        <v>2000</v>
      </c>
      <c r="D303" s="21">
        <v>4000</v>
      </c>
      <c r="E303" s="21">
        <v>2000</v>
      </c>
      <c r="F303" s="21">
        <v>4000</v>
      </c>
    </row>
    <row r="304" spans="1:6" ht="15.75" hidden="1" customHeight="1" outlineLevel="1">
      <c r="A304" s="16">
        <v>2</v>
      </c>
      <c r="B304" s="13">
        <v>0</v>
      </c>
      <c r="C304" s="21">
        <v>1500</v>
      </c>
      <c r="D304" s="21">
        <v>3000</v>
      </c>
      <c r="E304" s="21">
        <v>1500</v>
      </c>
      <c r="F304" s="21">
        <v>3000</v>
      </c>
    </row>
    <row r="305" spans="1:6" ht="15.75" hidden="1" customHeight="1" outlineLevel="1">
      <c r="A305" s="16">
        <v>5</v>
      </c>
      <c r="B305" s="13">
        <v>0</v>
      </c>
      <c r="C305" s="21">
        <v>1200</v>
      </c>
      <c r="D305" s="21">
        <v>2400</v>
      </c>
      <c r="E305" s="21">
        <v>1200</v>
      </c>
      <c r="F305" s="21">
        <v>2400</v>
      </c>
    </row>
    <row r="306" spans="1:6" ht="15.75" hidden="1" customHeight="1" outlineLevel="1">
      <c r="A306" s="16">
        <v>10</v>
      </c>
      <c r="B306" s="13">
        <v>0</v>
      </c>
      <c r="C306" s="21">
        <v>1000</v>
      </c>
      <c r="D306" s="21">
        <v>2000</v>
      </c>
      <c r="E306" s="21">
        <v>1000</v>
      </c>
      <c r="F306" s="21">
        <v>2000</v>
      </c>
    </row>
    <row r="307" spans="1:6" ht="15.75" hidden="1" customHeight="1" outlineLevel="1">
      <c r="A307" s="16">
        <v>20</v>
      </c>
      <c r="B307" s="13">
        <v>0</v>
      </c>
      <c r="C307" s="21">
        <v>800</v>
      </c>
      <c r="D307" s="21">
        <v>1600</v>
      </c>
      <c r="E307" s="21">
        <v>800</v>
      </c>
      <c r="F307" s="21">
        <v>1600</v>
      </c>
    </row>
    <row r="308" spans="1:6" ht="15.75" hidden="1" customHeight="1" outlineLevel="1">
      <c r="A308" s="16">
        <v>30</v>
      </c>
      <c r="B308" s="13">
        <v>0</v>
      </c>
      <c r="C308" s="21">
        <v>800</v>
      </c>
      <c r="D308" s="21">
        <v>1600</v>
      </c>
      <c r="E308" s="21">
        <v>800</v>
      </c>
      <c r="F308" s="21">
        <v>1600</v>
      </c>
    </row>
    <row r="309" spans="1:6" ht="15.75" hidden="1" customHeight="1" outlineLevel="1">
      <c r="A309" s="16">
        <v>40</v>
      </c>
      <c r="B309" s="13">
        <v>0</v>
      </c>
      <c r="C309" s="21">
        <v>700</v>
      </c>
      <c r="D309" s="21">
        <v>1400</v>
      </c>
      <c r="E309" s="21">
        <v>700</v>
      </c>
      <c r="F309" s="21">
        <v>1400</v>
      </c>
    </row>
    <row r="310" spans="1:6" ht="15.75" hidden="1" customHeight="1" outlineLevel="1">
      <c r="A310" s="16">
        <v>50</v>
      </c>
      <c r="B310" s="13">
        <v>0</v>
      </c>
      <c r="C310" s="21">
        <v>700</v>
      </c>
      <c r="D310" s="21">
        <v>1400</v>
      </c>
      <c r="E310" s="21">
        <v>700</v>
      </c>
      <c r="F310" s="21">
        <v>1400</v>
      </c>
    </row>
    <row r="311" spans="1:6" ht="15.75" hidden="1" customHeight="1" outlineLevel="1">
      <c r="A311" s="16">
        <v>70</v>
      </c>
      <c r="B311" s="13">
        <v>0</v>
      </c>
      <c r="C311" s="21">
        <v>600</v>
      </c>
      <c r="D311" s="21">
        <v>1200</v>
      </c>
      <c r="E311" s="21">
        <v>600</v>
      </c>
      <c r="F311" s="21">
        <v>1200</v>
      </c>
    </row>
    <row r="312" spans="1:6" ht="15.75" hidden="1" customHeight="1" outlineLevel="1">
      <c r="A312" s="16">
        <v>100</v>
      </c>
      <c r="B312" s="13">
        <v>0</v>
      </c>
      <c r="C312" s="21">
        <v>500</v>
      </c>
      <c r="D312" s="21">
        <v>1000</v>
      </c>
      <c r="E312" s="21">
        <v>500</v>
      </c>
      <c r="F312" s="21">
        <v>1000</v>
      </c>
    </row>
    <row r="313" spans="1:6" ht="15.75" hidden="1" customHeight="1" outlineLevel="1">
      <c r="A313" s="16">
        <v>150</v>
      </c>
      <c r="B313" s="13">
        <v>0</v>
      </c>
      <c r="C313" s="21">
        <v>400</v>
      </c>
      <c r="D313" s="21">
        <v>800</v>
      </c>
      <c r="E313" s="21">
        <v>400</v>
      </c>
      <c r="F313" s="21">
        <v>800</v>
      </c>
    </row>
    <row r="314" spans="1:6" ht="15.75" hidden="1" customHeight="1" outlineLevel="1">
      <c r="A314" s="16">
        <v>200</v>
      </c>
      <c r="B314" s="13">
        <v>0</v>
      </c>
      <c r="C314" s="21">
        <v>300</v>
      </c>
      <c r="D314" s="21">
        <v>600</v>
      </c>
      <c r="E314" s="21">
        <v>300</v>
      </c>
      <c r="F314" s="21">
        <v>600</v>
      </c>
    </row>
    <row r="315" spans="1:6" ht="15.75" hidden="1" customHeight="1" outlineLevel="1">
      <c r="A315" s="16">
        <v>250</v>
      </c>
      <c r="B315" s="13">
        <v>0</v>
      </c>
      <c r="C315" s="21">
        <v>300</v>
      </c>
      <c r="D315" s="21">
        <v>600</v>
      </c>
      <c r="E315" s="21">
        <v>300</v>
      </c>
      <c r="F315" s="21">
        <v>600</v>
      </c>
    </row>
    <row r="316" spans="1:6" ht="15.75" hidden="1" customHeight="1" outlineLevel="1">
      <c r="A316" s="16">
        <v>300</v>
      </c>
      <c r="B316" s="13">
        <v>0</v>
      </c>
      <c r="C316" s="21">
        <v>250</v>
      </c>
      <c r="D316" s="21">
        <v>500</v>
      </c>
      <c r="E316" s="21">
        <v>250</v>
      </c>
      <c r="F316" s="21">
        <v>500</v>
      </c>
    </row>
    <row r="317" spans="1:6" ht="15.75" hidden="1" customHeight="1" outlineLevel="1">
      <c r="A317" s="16">
        <v>400</v>
      </c>
      <c r="B317" s="13">
        <v>0</v>
      </c>
      <c r="C317" s="21">
        <v>200</v>
      </c>
      <c r="D317" s="21">
        <v>400</v>
      </c>
      <c r="E317" s="21">
        <v>200</v>
      </c>
      <c r="F317" s="21">
        <v>400</v>
      </c>
    </row>
    <row r="318" spans="1:6" ht="15.75" hidden="1" customHeight="1" outlineLevel="1">
      <c r="A318" s="16">
        <v>500</v>
      </c>
      <c r="B318" s="13">
        <v>0</v>
      </c>
      <c r="C318" s="21">
        <v>180</v>
      </c>
      <c r="D318" s="21">
        <v>360</v>
      </c>
      <c r="E318" s="21">
        <v>180</v>
      </c>
      <c r="F318" s="21">
        <v>360</v>
      </c>
    </row>
    <row r="319" spans="1:6" ht="15.75" hidden="1" customHeight="1" outlineLevel="1">
      <c r="A319" s="16">
        <v>700</v>
      </c>
      <c r="B319" s="13">
        <v>0</v>
      </c>
      <c r="C319" s="21">
        <v>160</v>
      </c>
      <c r="D319" s="21">
        <v>320</v>
      </c>
      <c r="E319" s="21">
        <v>160</v>
      </c>
      <c r="F319" s="21">
        <v>320</v>
      </c>
    </row>
    <row r="320" spans="1:6" ht="15.75" hidden="1" customHeight="1" outlineLevel="1">
      <c r="A320" s="16">
        <v>900</v>
      </c>
      <c r="B320" s="13">
        <v>0</v>
      </c>
      <c r="C320" s="21">
        <v>140</v>
      </c>
      <c r="D320" s="21">
        <v>280</v>
      </c>
      <c r="E320" s="21">
        <v>140</v>
      </c>
      <c r="F320" s="21">
        <v>280</v>
      </c>
    </row>
    <row r="321" spans="1:6" ht="15.75" hidden="1" customHeight="1" outlineLevel="1">
      <c r="A321" s="16">
        <v>1000</v>
      </c>
      <c r="B321" s="13">
        <v>0</v>
      </c>
      <c r="C321" s="21">
        <v>130</v>
      </c>
      <c r="D321" s="21">
        <v>260</v>
      </c>
      <c r="E321" s="21">
        <v>130</v>
      </c>
      <c r="F321" s="21">
        <v>260</v>
      </c>
    </row>
    <row r="322" spans="1:6" ht="15.75" hidden="1" customHeight="1" outlineLevel="1">
      <c r="A322" s="16">
        <v>1500</v>
      </c>
      <c r="B322" s="13">
        <v>0</v>
      </c>
      <c r="C322" s="21">
        <v>120</v>
      </c>
      <c r="D322" s="21">
        <v>240</v>
      </c>
      <c r="E322" s="21">
        <v>120</v>
      </c>
      <c r="F322" s="21">
        <v>240</v>
      </c>
    </row>
    <row r="323" spans="1:6" ht="15.75" hidden="1" customHeight="1" outlineLevel="1">
      <c r="A323" s="16">
        <v>2500</v>
      </c>
      <c r="B323" s="13">
        <v>0</v>
      </c>
      <c r="C323" s="21">
        <v>110</v>
      </c>
      <c r="D323" s="21">
        <v>220</v>
      </c>
      <c r="E323" s="21">
        <v>110</v>
      </c>
      <c r="F323" s="21">
        <v>220</v>
      </c>
    </row>
    <row r="324" spans="1:6" ht="15.75" hidden="1" customHeight="1" outlineLevel="1">
      <c r="A324" s="16">
        <v>5000</v>
      </c>
      <c r="B324" s="13">
        <v>0</v>
      </c>
      <c r="C324" s="21">
        <v>100</v>
      </c>
      <c r="D324" s="21">
        <v>200</v>
      </c>
      <c r="E324" s="21">
        <v>100</v>
      </c>
      <c r="F324" s="21">
        <v>200</v>
      </c>
    </row>
    <row r="325" spans="1:6" ht="15.75" hidden="1" customHeight="1" outlineLevel="1">
      <c r="A325" s="16">
        <v>1000000</v>
      </c>
      <c r="B325" s="13">
        <v>0</v>
      </c>
      <c r="C325" s="21">
        <v>100</v>
      </c>
      <c r="D325" s="21">
        <v>200</v>
      </c>
      <c r="E325" s="21">
        <v>100</v>
      </c>
      <c r="F325" s="21">
        <v>200</v>
      </c>
    </row>
    <row r="326" spans="1:6" ht="15.75" hidden="1" customHeight="1" outlineLevel="1"/>
    <row r="327" spans="1:6" ht="15.75" hidden="1" customHeight="1" outlineLevel="1"/>
    <row r="328" spans="1:6" ht="15.75" hidden="1" customHeight="1" outlineLevel="1"/>
    <row r="329" spans="1:6" ht="15.75" hidden="1" customHeight="1" outlineLevel="1"/>
    <row r="330" spans="1:6" ht="15.75" hidden="1" customHeight="1" outlineLevel="1"/>
    <row r="331" spans="1:6" ht="15.75" hidden="1" customHeight="1" outlineLevel="1"/>
    <row r="332" spans="1:6" ht="15.75" hidden="1" customHeight="1" outlineLevel="1"/>
    <row r="333" spans="1:6" ht="15.75" hidden="1" customHeight="1" outlineLevel="1"/>
    <row r="334" spans="1:6" ht="15.75" hidden="1" customHeight="1" outlineLevel="1"/>
    <row r="335" spans="1:6" ht="15.75" hidden="1" customHeight="1" outlineLevel="1"/>
    <row r="336" spans="1:6" ht="15.75" hidden="1" customHeight="1" outlineLevel="1"/>
    <row r="337" spans="1:6" ht="15.75" hidden="1" customHeight="1" outlineLevel="1"/>
    <row r="338" spans="1:6" ht="15.75" hidden="1" customHeight="1" outlineLevel="1"/>
    <row r="339" spans="1:6" ht="15.75" hidden="1" customHeight="1" outlineLevel="1"/>
    <row r="340" spans="1:6" ht="15.75" hidden="1" customHeight="1" outlineLevel="1"/>
    <row r="341" spans="1:6" ht="15.75" customHeight="1" collapsed="1">
      <c r="A341" s="54" t="s">
        <v>229</v>
      </c>
      <c r="B341" s="54" t="s">
        <v>106</v>
      </c>
      <c r="C341" s="54" t="s">
        <v>224</v>
      </c>
      <c r="D341" s="54" t="s">
        <v>225</v>
      </c>
      <c r="E341" s="54" t="s">
        <v>226</v>
      </c>
      <c r="F341" s="55" t="s">
        <v>227</v>
      </c>
    </row>
    <row r="342" spans="1:6" ht="15.75" hidden="1" customHeight="1" outlineLevel="1">
      <c r="A342" s="25" t="s">
        <v>230</v>
      </c>
      <c r="B342" s="21">
        <v>0</v>
      </c>
      <c r="C342" s="13">
        <v>10</v>
      </c>
      <c r="D342" s="13">
        <v>20</v>
      </c>
      <c r="E342" s="13">
        <v>30</v>
      </c>
      <c r="F342" s="13">
        <v>40</v>
      </c>
    </row>
    <row r="343" spans="1:6" ht="15.75" hidden="1" customHeight="1" outlineLevel="1">
      <c r="A343" s="16">
        <v>1</v>
      </c>
      <c r="B343" s="21">
        <v>0</v>
      </c>
      <c r="C343" s="21">
        <v>3000</v>
      </c>
      <c r="D343" s="21">
        <v>6000</v>
      </c>
      <c r="E343" s="21">
        <v>3000</v>
      </c>
      <c r="F343" s="21">
        <v>6000</v>
      </c>
    </row>
    <row r="344" spans="1:6" ht="15.75" hidden="1" customHeight="1" outlineLevel="1">
      <c r="A344" s="16">
        <v>2</v>
      </c>
      <c r="B344" s="21">
        <v>0</v>
      </c>
      <c r="C344" s="21">
        <v>2500</v>
      </c>
      <c r="D344" s="21">
        <v>5000</v>
      </c>
      <c r="E344" s="21">
        <v>2500</v>
      </c>
      <c r="F344" s="21">
        <v>5000</v>
      </c>
    </row>
    <row r="345" spans="1:6" ht="15.75" hidden="1" customHeight="1" outlineLevel="1">
      <c r="A345" s="16">
        <v>5</v>
      </c>
      <c r="B345" s="21">
        <v>0</v>
      </c>
      <c r="C345" s="21">
        <v>2000</v>
      </c>
      <c r="D345" s="21">
        <v>4000</v>
      </c>
      <c r="E345" s="21">
        <v>2000</v>
      </c>
      <c r="F345" s="21">
        <v>4000</v>
      </c>
    </row>
    <row r="346" spans="1:6" ht="15.75" hidden="1" customHeight="1" outlineLevel="1">
      <c r="A346" s="16">
        <v>10</v>
      </c>
      <c r="B346" s="21">
        <v>0</v>
      </c>
      <c r="C346" s="21">
        <v>1500</v>
      </c>
      <c r="D346" s="21">
        <v>3000</v>
      </c>
      <c r="E346" s="21">
        <v>1500</v>
      </c>
      <c r="F346" s="21">
        <v>3000</v>
      </c>
    </row>
    <row r="347" spans="1:6" ht="15.75" hidden="1" customHeight="1" outlineLevel="1">
      <c r="A347" s="16">
        <v>20</v>
      </c>
      <c r="B347" s="21">
        <v>0</v>
      </c>
      <c r="C347" s="21">
        <v>1200</v>
      </c>
      <c r="D347" s="21">
        <v>2400</v>
      </c>
      <c r="E347" s="21">
        <v>1200</v>
      </c>
      <c r="F347" s="21">
        <v>2400</v>
      </c>
    </row>
    <row r="348" spans="1:6" ht="15.75" hidden="1" customHeight="1" outlineLevel="1">
      <c r="A348" s="16">
        <v>30</v>
      </c>
      <c r="B348" s="21">
        <v>0</v>
      </c>
      <c r="C348" s="21">
        <v>1200</v>
      </c>
      <c r="D348" s="21">
        <v>2400</v>
      </c>
      <c r="E348" s="21">
        <v>1200</v>
      </c>
      <c r="F348" s="21">
        <v>2400</v>
      </c>
    </row>
    <row r="349" spans="1:6" ht="15.75" hidden="1" customHeight="1" outlineLevel="1">
      <c r="A349" s="16">
        <v>40</v>
      </c>
      <c r="B349" s="21">
        <v>0</v>
      </c>
      <c r="C349" s="21">
        <v>1050</v>
      </c>
      <c r="D349" s="21">
        <v>2100</v>
      </c>
      <c r="E349" s="21">
        <v>1050</v>
      </c>
      <c r="F349" s="21">
        <v>2100</v>
      </c>
    </row>
    <row r="350" spans="1:6" ht="15.75" hidden="1" customHeight="1" outlineLevel="1">
      <c r="A350" s="16">
        <v>50</v>
      </c>
      <c r="B350" s="21">
        <v>0</v>
      </c>
      <c r="C350" s="21">
        <v>1050</v>
      </c>
      <c r="D350" s="21">
        <v>2100</v>
      </c>
      <c r="E350" s="21">
        <v>1050</v>
      </c>
      <c r="F350" s="21">
        <v>2100</v>
      </c>
    </row>
    <row r="351" spans="1:6" ht="15.75" hidden="1" customHeight="1" outlineLevel="1">
      <c r="A351" s="16">
        <v>70</v>
      </c>
      <c r="B351" s="21">
        <v>0</v>
      </c>
      <c r="C351" s="21">
        <v>900</v>
      </c>
      <c r="D351" s="21">
        <v>1800</v>
      </c>
      <c r="E351" s="21">
        <v>900</v>
      </c>
      <c r="F351" s="21">
        <v>1800</v>
      </c>
    </row>
    <row r="352" spans="1:6" ht="15.75" hidden="1" customHeight="1" outlineLevel="1">
      <c r="A352" s="16">
        <v>100</v>
      </c>
      <c r="B352" s="21">
        <v>0</v>
      </c>
      <c r="C352" s="21">
        <v>750</v>
      </c>
      <c r="D352" s="21">
        <v>1500</v>
      </c>
      <c r="E352" s="21">
        <v>750</v>
      </c>
      <c r="F352" s="21">
        <v>1500</v>
      </c>
    </row>
    <row r="353" spans="1:6" ht="15.75" hidden="1" customHeight="1" outlineLevel="1">
      <c r="A353" s="16">
        <v>150</v>
      </c>
      <c r="B353" s="21">
        <v>0</v>
      </c>
      <c r="C353" s="21">
        <v>600</v>
      </c>
      <c r="D353" s="21">
        <v>1200</v>
      </c>
      <c r="E353" s="21">
        <v>600</v>
      </c>
      <c r="F353" s="21">
        <v>1200</v>
      </c>
    </row>
    <row r="354" spans="1:6" ht="15.75" hidden="1" customHeight="1" outlineLevel="1">
      <c r="A354" s="16">
        <v>200</v>
      </c>
      <c r="B354" s="21">
        <v>0</v>
      </c>
      <c r="C354" s="21">
        <v>450</v>
      </c>
      <c r="D354" s="21">
        <v>900</v>
      </c>
      <c r="E354" s="21">
        <v>450</v>
      </c>
      <c r="F354" s="21">
        <v>900</v>
      </c>
    </row>
    <row r="355" spans="1:6" ht="15.75" hidden="1" customHeight="1" outlineLevel="1">
      <c r="A355" s="16">
        <v>250</v>
      </c>
      <c r="B355" s="21">
        <v>0</v>
      </c>
      <c r="C355" s="21">
        <v>450</v>
      </c>
      <c r="D355" s="21">
        <v>900</v>
      </c>
      <c r="E355" s="21">
        <v>450</v>
      </c>
      <c r="F355" s="21">
        <v>900</v>
      </c>
    </row>
    <row r="356" spans="1:6" ht="15.75" hidden="1" customHeight="1" outlineLevel="1">
      <c r="A356" s="16">
        <v>300</v>
      </c>
      <c r="B356" s="21">
        <v>0</v>
      </c>
      <c r="C356" s="21">
        <v>380</v>
      </c>
      <c r="D356" s="21">
        <v>760</v>
      </c>
      <c r="E356" s="21">
        <v>380</v>
      </c>
      <c r="F356" s="21">
        <v>760</v>
      </c>
    </row>
    <row r="357" spans="1:6" ht="15.75" hidden="1" customHeight="1" outlineLevel="1">
      <c r="A357" s="16">
        <v>400</v>
      </c>
      <c r="B357" s="21">
        <v>0</v>
      </c>
      <c r="C357" s="21">
        <v>300</v>
      </c>
      <c r="D357" s="21">
        <v>600</v>
      </c>
      <c r="E357" s="21">
        <v>300</v>
      </c>
      <c r="F357" s="21">
        <v>600</v>
      </c>
    </row>
    <row r="358" spans="1:6" ht="15.75" hidden="1" customHeight="1" outlineLevel="1">
      <c r="A358" s="16">
        <v>500</v>
      </c>
      <c r="B358" s="21">
        <v>0</v>
      </c>
      <c r="C358" s="21">
        <v>270</v>
      </c>
      <c r="D358" s="21">
        <v>540</v>
      </c>
      <c r="E358" s="21">
        <v>270</v>
      </c>
      <c r="F358" s="21">
        <v>540</v>
      </c>
    </row>
    <row r="359" spans="1:6" ht="15.75" hidden="1" customHeight="1" outlineLevel="1">
      <c r="A359" s="16">
        <v>700</v>
      </c>
      <c r="B359" s="21">
        <v>0</v>
      </c>
      <c r="C359" s="21">
        <v>240</v>
      </c>
      <c r="D359" s="21">
        <v>480</v>
      </c>
      <c r="E359" s="21">
        <v>240</v>
      </c>
      <c r="F359" s="21">
        <v>480</v>
      </c>
    </row>
    <row r="360" spans="1:6" ht="15.75" hidden="1" customHeight="1" outlineLevel="1">
      <c r="A360" s="16">
        <v>900</v>
      </c>
      <c r="B360" s="21">
        <v>0</v>
      </c>
      <c r="C360" s="21">
        <v>210</v>
      </c>
      <c r="D360" s="21">
        <v>420</v>
      </c>
      <c r="E360" s="21">
        <v>210</v>
      </c>
      <c r="F360" s="21">
        <v>420</v>
      </c>
    </row>
    <row r="361" spans="1:6" ht="15.75" hidden="1" customHeight="1" outlineLevel="1">
      <c r="A361" s="16">
        <v>1000</v>
      </c>
      <c r="B361" s="21">
        <v>0</v>
      </c>
      <c r="C361" s="21">
        <v>200</v>
      </c>
      <c r="D361" s="21">
        <v>400</v>
      </c>
      <c r="E361" s="21">
        <v>200</v>
      </c>
      <c r="F361" s="21">
        <v>400</v>
      </c>
    </row>
    <row r="362" spans="1:6" ht="15.75" hidden="1" customHeight="1" outlineLevel="1">
      <c r="A362" s="16">
        <v>1500</v>
      </c>
      <c r="B362" s="21">
        <v>0</v>
      </c>
      <c r="C362" s="21">
        <v>180</v>
      </c>
      <c r="D362" s="21">
        <v>360</v>
      </c>
      <c r="E362" s="21">
        <v>180</v>
      </c>
      <c r="F362" s="21">
        <v>360</v>
      </c>
    </row>
    <row r="363" spans="1:6" ht="15.75" hidden="1" customHeight="1" outlineLevel="1">
      <c r="A363" s="16">
        <v>2500</v>
      </c>
      <c r="B363" s="21">
        <v>0</v>
      </c>
      <c r="C363" s="21">
        <v>170</v>
      </c>
      <c r="D363" s="21">
        <v>340</v>
      </c>
      <c r="E363" s="21">
        <v>170</v>
      </c>
      <c r="F363" s="21">
        <v>340</v>
      </c>
    </row>
    <row r="364" spans="1:6" ht="15.75" hidden="1" customHeight="1" outlineLevel="1">
      <c r="A364" s="16">
        <v>5000</v>
      </c>
      <c r="B364" s="21">
        <v>0</v>
      </c>
      <c r="C364" s="21">
        <v>150</v>
      </c>
      <c r="D364" s="21">
        <v>300</v>
      </c>
      <c r="E364" s="21">
        <v>150</v>
      </c>
      <c r="F364" s="21">
        <v>300</v>
      </c>
    </row>
    <row r="365" spans="1:6" ht="15.75" hidden="1" customHeight="1" outlineLevel="1">
      <c r="A365" s="16">
        <v>1000000</v>
      </c>
      <c r="B365" s="21">
        <v>0</v>
      </c>
      <c r="C365" s="21">
        <v>150</v>
      </c>
      <c r="D365" s="21">
        <v>300</v>
      </c>
      <c r="E365" s="21">
        <v>150</v>
      </c>
      <c r="F365" s="21">
        <v>300</v>
      </c>
    </row>
    <row r="366" spans="1:6" ht="15.75" hidden="1" customHeight="1" outlineLevel="1"/>
    <row r="367" spans="1:6" ht="15.75" hidden="1" customHeight="1" outlineLevel="1"/>
    <row r="368" spans="1:6" ht="15.75" hidden="1" customHeight="1" outlineLevel="1"/>
    <row r="369" ht="15.75" hidden="1" customHeight="1" outlineLevel="1"/>
    <row r="370" ht="15.75" hidden="1" customHeight="1" outlineLevel="1"/>
    <row r="371" ht="15.75" hidden="1" customHeight="1" outlineLevel="1"/>
    <row r="372" ht="15.75" hidden="1" customHeight="1" outlineLevel="1"/>
    <row r="373" ht="15.75" hidden="1" customHeight="1" outlineLevel="1"/>
    <row r="374" ht="15.75" hidden="1" customHeight="1" outlineLevel="1"/>
    <row r="375" ht="15.75" hidden="1" customHeight="1" outlineLevel="1"/>
    <row r="376" ht="15.75" hidden="1" customHeight="1" outlineLevel="1"/>
    <row r="377" ht="15.75" hidden="1" customHeight="1" outlineLevel="1"/>
    <row r="378" ht="15.75" hidden="1" customHeight="1" outlineLevel="1"/>
    <row r="379" ht="15.75" hidden="1" customHeight="1" outlineLevel="1"/>
    <row r="380" ht="15.75" hidden="1" customHeight="1" outlineLevel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37" type="noConversion"/>
  <printOptions horizontalCentered="1" gridLines="1"/>
  <pageMargins left="0.7" right="0.7" top="0.75" bottom="0.75" header="0" footer="0"/>
  <pageSetup paperSize="9" pageOrder="overThenDown" orientation="portrait" cellComments="atEnd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E1000"/>
  <sheetViews>
    <sheetView workbookViewId="0"/>
  </sheetViews>
  <sheetFormatPr defaultColWidth="12.5703125" defaultRowHeight="15" customHeight="1"/>
  <cols>
    <col min="1" max="1" width="18.140625" customWidth="1"/>
    <col min="2" max="6" width="12.5703125" customWidth="1"/>
  </cols>
  <sheetData>
    <row r="1" spans="1:5" ht="15.75" customHeight="1">
      <c r="A1" s="56" t="s">
        <v>231</v>
      </c>
      <c r="B1" s="57" t="s">
        <v>232</v>
      </c>
      <c r="C1" s="58" t="s">
        <v>233</v>
      </c>
      <c r="D1" s="58" t="s">
        <v>234</v>
      </c>
    </row>
    <row r="2" spans="1:5" ht="15.75" customHeight="1">
      <c r="A2" s="59"/>
      <c r="B2" s="60"/>
      <c r="C2" s="60"/>
      <c r="D2" s="60"/>
    </row>
    <row r="3" spans="1:5" ht="15.75" customHeight="1">
      <c r="A3" s="192" t="s">
        <v>235</v>
      </c>
      <c r="B3" s="61" t="s">
        <v>236</v>
      </c>
      <c r="C3" s="62">
        <v>3500</v>
      </c>
      <c r="D3" s="62">
        <v>4500</v>
      </c>
      <c r="E3" s="3"/>
    </row>
    <row r="4" spans="1:5" ht="15.75" customHeight="1">
      <c r="A4" s="193"/>
      <c r="B4" s="61" t="s">
        <v>237</v>
      </c>
      <c r="C4" s="62">
        <v>3500</v>
      </c>
      <c r="D4" s="62">
        <v>4500</v>
      </c>
      <c r="E4" s="3"/>
    </row>
    <row r="5" spans="1:5" ht="15.75" customHeight="1">
      <c r="A5" s="193"/>
      <c r="B5" s="61" t="s">
        <v>238</v>
      </c>
      <c r="C5" s="63">
        <v>3800</v>
      </c>
      <c r="D5" s="63">
        <v>4800</v>
      </c>
      <c r="E5" s="3"/>
    </row>
    <row r="6" spans="1:5" ht="15.75" customHeight="1">
      <c r="A6" s="193"/>
      <c r="B6" s="61" t="s">
        <v>239</v>
      </c>
      <c r="C6" s="62">
        <v>3500</v>
      </c>
      <c r="D6" s="62">
        <v>4500</v>
      </c>
      <c r="E6" s="3"/>
    </row>
    <row r="7" spans="1:5" ht="15.75" customHeight="1">
      <c r="A7" s="194"/>
      <c r="B7" s="61" t="s">
        <v>240</v>
      </c>
      <c r="C7" s="63">
        <v>3800</v>
      </c>
      <c r="D7" s="63">
        <v>4800</v>
      </c>
      <c r="E7" s="3"/>
    </row>
    <row r="8" spans="1:5" ht="15.75" customHeight="1">
      <c r="A8" s="192" t="s">
        <v>241</v>
      </c>
      <c r="B8" s="61" t="s">
        <v>237</v>
      </c>
      <c r="C8" s="62">
        <v>5500</v>
      </c>
      <c r="D8" s="62">
        <v>6500</v>
      </c>
      <c r="E8" s="3"/>
    </row>
    <row r="9" spans="1:5" ht="15.75" customHeight="1">
      <c r="A9" s="194"/>
      <c r="B9" s="61" t="s">
        <v>238</v>
      </c>
      <c r="C9" s="63">
        <v>5800</v>
      </c>
      <c r="D9" s="63">
        <v>6800</v>
      </c>
      <c r="E9" s="3"/>
    </row>
    <row r="10" spans="1:5" ht="15.75" customHeight="1">
      <c r="A10" s="192" t="s">
        <v>242</v>
      </c>
      <c r="B10" s="61" t="s">
        <v>243</v>
      </c>
      <c r="C10" s="63">
        <v>5000</v>
      </c>
      <c r="D10" s="63">
        <v>6500</v>
      </c>
      <c r="E10" s="3"/>
    </row>
    <row r="11" spans="1:5" ht="15.75" customHeight="1">
      <c r="A11" s="194"/>
      <c r="B11" s="61" t="s">
        <v>244</v>
      </c>
      <c r="C11" s="62">
        <v>4500</v>
      </c>
      <c r="D11" s="62">
        <v>5500</v>
      </c>
      <c r="E11" s="3"/>
    </row>
    <row r="12" spans="1:5" ht="15.75" customHeight="1">
      <c r="A12" s="192" t="s">
        <v>245</v>
      </c>
      <c r="B12" s="61" t="s">
        <v>246</v>
      </c>
      <c r="C12" s="62">
        <v>9000</v>
      </c>
      <c r="D12" s="62">
        <v>10000</v>
      </c>
      <c r="E12" s="3"/>
    </row>
    <row r="13" spans="1:5" ht="15.75" customHeight="1">
      <c r="A13" s="193"/>
      <c r="B13" s="61" t="s">
        <v>247</v>
      </c>
      <c r="C13" s="62">
        <v>9000</v>
      </c>
      <c r="D13" s="62">
        <v>10000</v>
      </c>
      <c r="E13" s="3"/>
    </row>
    <row r="14" spans="1:5" ht="15.75" customHeight="1">
      <c r="A14" s="193"/>
      <c r="B14" s="61" t="s">
        <v>248</v>
      </c>
      <c r="C14" s="62">
        <v>9000</v>
      </c>
      <c r="D14" s="62">
        <v>10000</v>
      </c>
      <c r="E14" s="3"/>
    </row>
    <row r="15" spans="1:5" ht="15.75" customHeight="1">
      <c r="A15" s="194"/>
      <c r="B15" s="61" t="s">
        <v>249</v>
      </c>
      <c r="C15" s="62">
        <v>10000</v>
      </c>
      <c r="D15" s="62">
        <v>11000</v>
      </c>
      <c r="E15" s="3"/>
    </row>
    <row r="16" spans="1:5" ht="15.75" customHeight="1">
      <c r="A16" s="64" t="s">
        <v>250</v>
      </c>
      <c r="B16" s="61" t="s">
        <v>251</v>
      </c>
      <c r="C16" s="63">
        <v>13500</v>
      </c>
      <c r="D16" s="61"/>
      <c r="E16" s="3"/>
    </row>
    <row r="17" spans="1:5" ht="15.75" customHeight="1">
      <c r="A17" s="64" t="s">
        <v>252</v>
      </c>
      <c r="B17" s="61" t="s">
        <v>253</v>
      </c>
      <c r="C17" s="63">
        <v>13500</v>
      </c>
      <c r="D17" s="61"/>
      <c r="E17" s="3"/>
    </row>
    <row r="18" spans="1:5" ht="15.75" customHeight="1">
      <c r="A18" s="192" t="s">
        <v>254</v>
      </c>
      <c r="B18" s="61" t="s">
        <v>255</v>
      </c>
      <c r="C18" s="63">
        <v>14500</v>
      </c>
      <c r="D18" s="63">
        <v>16000</v>
      </c>
      <c r="E18" s="3"/>
    </row>
    <row r="19" spans="1:5" ht="15.75" customHeight="1">
      <c r="A19" s="193"/>
      <c r="B19" s="61" t="s">
        <v>256</v>
      </c>
      <c r="C19" s="63">
        <v>14500</v>
      </c>
      <c r="D19" s="63">
        <v>16000</v>
      </c>
      <c r="E19" s="3"/>
    </row>
    <row r="20" spans="1:5" ht="15.75" customHeight="1">
      <c r="A20" s="193"/>
      <c r="B20" s="61" t="s">
        <v>257</v>
      </c>
      <c r="C20" s="63">
        <v>14500</v>
      </c>
      <c r="D20" s="63">
        <v>16000</v>
      </c>
      <c r="E20" s="3"/>
    </row>
    <row r="21" spans="1:5" ht="15.75" customHeight="1">
      <c r="A21" s="194"/>
      <c r="B21" s="61" t="s">
        <v>258</v>
      </c>
      <c r="C21" s="63">
        <v>14500</v>
      </c>
      <c r="D21" s="63">
        <v>16000</v>
      </c>
      <c r="E21" s="3"/>
    </row>
    <row r="22" spans="1:5" ht="15.75" customHeight="1">
      <c r="A22" s="64" t="s">
        <v>259</v>
      </c>
      <c r="B22" s="61" t="s">
        <v>260</v>
      </c>
      <c r="C22" s="65">
        <v>18000</v>
      </c>
      <c r="D22" s="65">
        <v>19000</v>
      </c>
      <c r="E22" s="3"/>
    </row>
    <row r="23" spans="1:5" ht="15.75" customHeight="1">
      <c r="A23" s="64" t="s">
        <v>261</v>
      </c>
      <c r="B23" s="61" t="s">
        <v>260</v>
      </c>
      <c r="C23" s="65">
        <v>16000</v>
      </c>
      <c r="D23" s="65">
        <v>17000</v>
      </c>
      <c r="E23" s="3"/>
    </row>
    <row r="24" spans="1:5" ht="15.75" customHeight="1">
      <c r="A24" s="3"/>
      <c r="B24" s="3"/>
      <c r="C24" s="3"/>
      <c r="D24" s="3"/>
      <c r="E24" s="3"/>
    </row>
    <row r="25" spans="1:5" ht="15.75" customHeight="1">
      <c r="A25" s="3"/>
      <c r="B25" s="3"/>
      <c r="C25" s="3"/>
      <c r="D25" s="3"/>
      <c r="E25" s="3"/>
    </row>
    <row r="26" spans="1:5" ht="15.75" customHeight="1"/>
    <row r="27" spans="1:5" ht="15.75" customHeight="1"/>
    <row r="28" spans="1:5" ht="15.75" customHeight="1"/>
    <row r="29" spans="1:5" ht="15.75" customHeight="1"/>
    <row r="30" spans="1:5" ht="15.75" customHeight="1"/>
    <row r="31" spans="1:5" ht="15.75" customHeight="1"/>
    <row r="32" spans="1: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3:A7"/>
    <mergeCell ref="A8:A9"/>
    <mergeCell ref="A10:A11"/>
    <mergeCell ref="A12:A15"/>
    <mergeCell ref="A18:A21"/>
  </mergeCells>
  <phoneticPr fontId="37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P1000"/>
  <sheetViews>
    <sheetView workbookViewId="0"/>
  </sheetViews>
  <sheetFormatPr defaultColWidth="12.5703125" defaultRowHeight="15" customHeight="1"/>
  <cols>
    <col min="1" max="6" width="12.5703125" customWidth="1"/>
  </cols>
  <sheetData>
    <row r="1" spans="1:16" ht="15.75" customHeight="1">
      <c r="A1" s="66" t="s">
        <v>262</v>
      </c>
      <c r="B1" s="67"/>
      <c r="C1" s="67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</row>
    <row r="2" spans="1:16" ht="15.75" customHeight="1">
      <c r="A2" s="68" t="s">
        <v>263</v>
      </c>
      <c r="B2" s="69" t="s">
        <v>264</v>
      </c>
      <c r="C2" s="69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</row>
    <row r="3" spans="1:16" ht="15.75" customHeight="1">
      <c r="A3" s="70"/>
      <c r="B3" s="71"/>
      <c r="C3" s="71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</row>
    <row r="4" spans="1:16" ht="15.75" customHeight="1">
      <c r="A4" s="72">
        <v>1</v>
      </c>
      <c r="B4" s="71">
        <v>5000</v>
      </c>
      <c r="C4" s="71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</row>
    <row r="5" spans="1:16" ht="15.75" customHeight="1">
      <c r="A5" s="25"/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</row>
    <row r="6" spans="1:16" ht="15.75" customHeight="1">
      <c r="A6" s="181" t="s">
        <v>265</v>
      </c>
      <c r="B6" s="182"/>
      <c r="C6" s="182"/>
      <c r="D6" s="182"/>
      <c r="E6" s="182"/>
      <c r="F6" s="182"/>
      <c r="G6" s="182"/>
      <c r="H6" s="182"/>
      <c r="I6" s="182"/>
      <c r="J6" s="182"/>
      <c r="K6" s="182"/>
      <c r="L6" s="182"/>
      <c r="M6" s="182"/>
      <c r="N6" s="182"/>
      <c r="O6" s="182"/>
      <c r="P6" s="182"/>
    </row>
    <row r="7" spans="1:16" ht="15.75" customHeight="1">
      <c r="A7" s="25"/>
      <c r="B7" s="21">
        <v>1</v>
      </c>
      <c r="C7" s="25" t="s">
        <v>266</v>
      </c>
      <c r="D7" s="25" t="s">
        <v>267</v>
      </c>
      <c r="E7" s="25" t="s">
        <v>268</v>
      </c>
      <c r="F7" s="25" t="s">
        <v>269</v>
      </c>
      <c r="G7" s="73" t="s">
        <v>270</v>
      </c>
      <c r="H7" s="73" t="s">
        <v>271</v>
      </c>
      <c r="I7" s="73" t="s">
        <v>272</v>
      </c>
      <c r="J7" s="73" t="s">
        <v>273</v>
      </c>
      <c r="K7" s="73" t="s">
        <v>274</v>
      </c>
      <c r="L7" s="73" t="s">
        <v>275</v>
      </c>
      <c r="M7" s="73" t="s">
        <v>276</v>
      </c>
      <c r="N7" s="25" t="s">
        <v>277</v>
      </c>
      <c r="O7" s="25" t="s">
        <v>278</v>
      </c>
      <c r="P7" s="25" t="s">
        <v>279</v>
      </c>
    </row>
    <row r="8" spans="1:16" ht="15.75" customHeight="1">
      <c r="A8" s="21">
        <v>1</v>
      </c>
      <c r="B8" s="25"/>
      <c r="C8" s="25"/>
      <c r="D8" s="25"/>
      <c r="E8" s="25"/>
      <c r="F8" s="25"/>
      <c r="G8" s="73"/>
      <c r="H8" s="73"/>
      <c r="I8" s="73"/>
      <c r="J8" s="73"/>
      <c r="K8" s="73"/>
      <c r="L8" s="73"/>
      <c r="M8" s="73"/>
      <c r="N8" s="25"/>
      <c r="O8" s="25"/>
      <c r="P8" s="25"/>
    </row>
    <row r="9" spans="1:16" ht="15.75" customHeight="1">
      <c r="A9" s="21">
        <v>200</v>
      </c>
      <c r="B9" s="25"/>
      <c r="C9" s="74">
        <v>12200</v>
      </c>
      <c r="D9" s="75">
        <v>12200</v>
      </c>
      <c r="E9" s="75">
        <v>15000</v>
      </c>
      <c r="F9" s="75">
        <v>16400</v>
      </c>
      <c r="G9" s="75">
        <v>12200</v>
      </c>
      <c r="H9" s="75">
        <v>12200</v>
      </c>
      <c r="I9" s="75">
        <v>15000</v>
      </c>
      <c r="J9" s="75">
        <v>16400</v>
      </c>
      <c r="K9" s="75">
        <v>17800</v>
      </c>
      <c r="L9" s="75">
        <v>12200</v>
      </c>
      <c r="M9" s="75">
        <v>15000</v>
      </c>
      <c r="N9" s="75">
        <v>17800</v>
      </c>
      <c r="O9" s="75">
        <v>19200</v>
      </c>
      <c r="P9" s="75">
        <v>19200</v>
      </c>
    </row>
    <row r="10" spans="1:16" ht="15.75" customHeight="1">
      <c r="A10" s="21">
        <v>300</v>
      </c>
      <c r="B10" s="25"/>
      <c r="C10" s="76">
        <v>14300</v>
      </c>
      <c r="D10" s="77">
        <v>14300</v>
      </c>
      <c r="E10" s="77">
        <v>18500</v>
      </c>
      <c r="F10" s="77">
        <v>20600</v>
      </c>
      <c r="G10" s="77">
        <v>14300</v>
      </c>
      <c r="H10" s="77">
        <v>14300</v>
      </c>
      <c r="I10" s="77">
        <v>18500</v>
      </c>
      <c r="J10" s="77">
        <v>20600</v>
      </c>
      <c r="K10" s="77">
        <v>22700</v>
      </c>
      <c r="L10" s="77">
        <v>14300</v>
      </c>
      <c r="M10" s="77">
        <v>18500</v>
      </c>
      <c r="N10" s="77">
        <v>22700</v>
      </c>
      <c r="O10" s="77">
        <v>24800</v>
      </c>
      <c r="P10" s="77">
        <v>24800</v>
      </c>
    </row>
    <row r="11" spans="1:16" ht="15.75" customHeight="1">
      <c r="A11" s="21">
        <v>400</v>
      </c>
      <c r="B11" s="25"/>
      <c r="C11" s="76">
        <v>16400</v>
      </c>
      <c r="D11" s="77">
        <v>16400</v>
      </c>
      <c r="E11" s="77">
        <v>22000</v>
      </c>
      <c r="F11" s="77">
        <v>24800</v>
      </c>
      <c r="G11" s="77">
        <v>16400</v>
      </c>
      <c r="H11" s="77">
        <v>16400</v>
      </c>
      <c r="I11" s="77">
        <v>22000</v>
      </c>
      <c r="J11" s="77">
        <v>24800</v>
      </c>
      <c r="K11" s="77">
        <v>27600</v>
      </c>
      <c r="L11" s="77">
        <v>16400</v>
      </c>
      <c r="M11" s="77">
        <v>22000</v>
      </c>
      <c r="N11" s="77">
        <v>27600</v>
      </c>
      <c r="O11" s="77">
        <v>30400</v>
      </c>
      <c r="P11" s="77">
        <v>30400</v>
      </c>
    </row>
    <row r="12" spans="1:16" ht="15.75" customHeight="1">
      <c r="A12" s="21">
        <v>500</v>
      </c>
      <c r="B12" s="25"/>
      <c r="C12" s="76">
        <v>18500</v>
      </c>
      <c r="D12" s="77">
        <v>18500</v>
      </c>
      <c r="E12" s="77">
        <v>25500</v>
      </c>
      <c r="F12" s="77">
        <v>29000</v>
      </c>
      <c r="G12" s="77">
        <v>18500</v>
      </c>
      <c r="H12" s="77">
        <v>18500</v>
      </c>
      <c r="I12" s="77">
        <v>25500</v>
      </c>
      <c r="J12" s="77">
        <v>29000</v>
      </c>
      <c r="K12" s="77">
        <v>32500</v>
      </c>
      <c r="L12" s="77">
        <v>18500</v>
      </c>
      <c r="M12" s="77">
        <v>25500</v>
      </c>
      <c r="N12" s="77">
        <v>32500</v>
      </c>
      <c r="O12" s="77">
        <v>36000</v>
      </c>
      <c r="P12" s="77">
        <v>36000</v>
      </c>
    </row>
    <row r="13" spans="1:16" ht="15.75" customHeight="1">
      <c r="A13" s="21">
        <v>600</v>
      </c>
      <c r="B13" s="25"/>
      <c r="C13" s="76">
        <v>20600</v>
      </c>
      <c r="D13" s="77">
        <v>20600</v>
      </c>
      <c r="E13" s="77">
        <v>29000</v>
      </c>
      <c r="F13" s="77">
        <v>33200</v>
      </c>
      <c r="G13" s="77">
        <v>20600</v>
      </c>
      <c r="H13" s="77">
        <v>20600</v>
      </c>
      <c r="I13" s="77">
        <v>29000</v>
      </c>
      <c r="J13" s="77">
        <v>33200</v>
      </c>
      <c r="K13" s="77">
        <v>37400</v>
      </c>
      <c r="L13" s="77">
        <v>20600</v>
      </c>
      <c r="M13" s="77">
        <v>29000</v>
      </c>
      <c r="N13" s="77">
        <v>37400</v>
      </c>
      <c r="O13" s="77">
        <v>41600</v>
      </c>
      <c r="P13" s="77">
        <v>41600</v>
      </c>
    </row>
    <row r="14" spans="1:16" ht="15.75" customHeight="1">
      <c r="A14" s="21">
        <v>700</v>
      </c>
      <c r="B14" s="25"/>
      <c r="C14" s="76">
        <v>22700</v>
      </c>
      <c r="D14" s="77">
        <v>22700</v>
      </c>
      <c r="E14" s="77">
        <v>32500</v>
      </c>
      <c r="F14" s="77">
        <v>37400</v>
      </c>
      <c r="G14" s="77">
        <v>22700</v>
      </c>
      <c r="H14" s="77">
        <v>22700</v>
      </c>
      <c r="I14" s="77">
        <v>32500</v>
      </c>
      <c r="J14" s="77">
        <v>37400</v>
      </c>
      <c r="K14" s="77">
        <v>42300</v>
      </c>
      <c r="L14" s="77">
        <v>22700</v>
      </c>
      <c r="M14" s="77">
        <v>32500</v>
      </c>
      <c r="N14" s="77">
        <v>42300</v>
      </c>
      <c r="O14" s="77">
        <v>47200</v>
      </c>
      <c r="P14" s="77">
        <v>47200</v>
      </c>
    </row>
    <row r="15" spans="1:16" ht="15.75" customHeight="1">
      <c r="A15" s="21">
        <v>800</v>
      </c>
      <c r="B15" s="25"/>
      <c r="C15" s="76">
        <v>24800</v>
      </c>
      <c r="D15" s="77">
        <v>24800</v>
      </c>
      <c r="E15" s="77">
        <v>36000</v>
      </c>
      <c r="F15" s="77">
        <v>41600</v>
      </c>
      <c r="G15" s="77">
        <v>24800</v>
      </c>
      <c r="H15" s="77">
        <v>24800</v>
      </c>
      <c r="I15" s="77">
        <v>36000</v>
      </c>
      <c r="J15" s="77">
        <v>41600</v>
      </c>
      <c r="K15" s="77">
        <v>47200</v>
      </c>
      <c r="L15" s="77">
        <v>24800</v>
      </c>
      <c r="M15" s="77">
        <v>36000</v>
      </c>
      <c r="N15" s="77">
        <v>47200</v>
      </c>
      <c r="O15" s="77">
        <v>52800</v>
      </c>
      <c r="P15" s="77">
        <v>52800</v>
      </c>
    </row>
    <row r="16" spans="1:16" ht="15.75" customHeight="1">
      <c r="A16" s="21">
        <v>900</v>
      </c>
      <c r="B16" s="25"/>
      <c r="C16" s="76">
        <v>26900</v>
      </c>
      <c r="D16" s="77">
        <v>26900</v>
      </c>
      <c r="E16" s="77">
        <v>39500</v>
      </c>
      <c r="F16" s="77">
        <v>45800</v>
      </c>
      <c r="G16" s="77">
        <v>26900</v>
      </c>
      <c r="H16" s="77">
        <v>26900</v>
      </c>
      <c r="I16" s="77">
        <v>39500</v>
      </c>
      <c r="J16" s="77">
        <v>45800</v>
      </c>
      <c r="K16" s="77">
        <v>52100</v>
      </c>
      <c r="L16" s="77">
        <v>26900</v>
      </c>
      <c r="M16" s="77">
        <v>39500</v>
      </c>
      <c r="N16" s="77">
        <v>52100</v>
      </c>
      <c r="O16" s="77">
        <v>58400</v>
      </c>
      <c r="P16" s="77">
        <v>58400</v>
      </c>
    </row>
    <row r="17" spans="1:16" ht="15.75" customHeight="1">
      <c r="A17" s="21">
        <v>1000</v>
      </c>
      <c r="B17" s="25"/>
      <c r="C17" s="76">
        <v>28000</v>
      </c>
      <c r="D17" s="77">
        <v>28000</v>
      </c>
      <c r="E17" s="77">
        <v>42000</v>
      </c>
      <c r="F17" s="77">
        <v>49000</v>
      </c>
      <c r="G17" s="77">
        <v>28000</v>
      </c>
      <c r="H17" s="77">
        <v>28000</v>
      </c>
      <c r="I17" s="77">
        <v>42000</v>
      </c>
      <c r="J17" s="77">
        <v>49000</v>
      </c>
      <c r="K17" s="77">
        <v>56000</v>
      </c>
      <c r="L17" s="77">
        <v>28000</v>
      </c>
      <c r="M17" s="77">
        <v>42000</v>
      </c>
      <c r="N17" s="77">
        <v>56000</v>
      </c>
      <c r="O17" s="77">
        <v>63000</v>
      </c>
      <c r="P17" s="77">
        <v>63000</v>
      </c>
    </row>
    <row r="18" spans="1:16" ht="15.75" customHeight="1">
      <c r="A18" s="21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</row>
    <row r="19" spans="1:16" ht="15.75" customHeight="1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</row>
    <row r="20" spans="1:16" ht="15.75" customHeight="1">
      <c r="A20" s="181" t="s">
        <v>280</v>
      </c>
      <c r="B20" s="182"/>
      <c r="C20" s="182"/>
      <c r="D20" s="182"/>
      <c r="E20" s="182"/>
      <c r="F20" s="182"/>
      <c r="G20" s="182"/>
      <c r="H20" s="182"/>
      <c r="I20" s="182"/>
      <c r="J20" s="182"/>
      <c r="K20" s="182"/>
      <c r="L20" s="182"/>
      <c r="M20" s="182"/>
      <c r="N20" s="182"/>
      <c r="O20" s="182"/>
      <c r="P20" s="182"/>
    </row>
    <row r="21" spans="1:16" ht="15.75" customHeight="1">
      <c r="A21" s="25"/>
      <c r="B21" s="21">
        <v>1</v>
      </c>
      <c r="C21" s="25" t="s">
        <v>266</v>
      </c>
      <c r="D21" s="25" t="s">
        <v>267</v>
      </c>
      <c r="E21" s="25" t="s">
        <v>268</v>
      </c>
      <c r="F21" s="25" t="s">
        <v>269</v>
      </c>
      <c r="G21" s="73" t="s">
        <v>270</v>
      </c>
      <c r="H21" s="73" t="s">
        <v>271</v>
      </c>
      <c r="I21" s="73" t="s">
        <v>272</v>
      </c>
      <c r="J21" s="73" t="s">
        <v>273</v>
      </c>
      <c r="K21" s="73" t="s">
        <v>274</v>
      </c>
      <c r="L21" s="73" t="s">
        <v>275</v>
      </c>
      <c r="M21" s="73" t="s">
        <v>276</v>
      </c>
      <c r="N21" s="25" t="s">
        <v>277</v>
      </c>
      <c r="O21" s="25" t="s">
        <v>278</v>
      </c>
      <c r="P21" s="25" t="s">
        <v>279</v>
      </c>
    </row>
    <row r="22" spans="1:16" ht="15.75" customHeight="1">
      <c r="A22" s="21">
        <v>1</v>
      </c>
      <c r="B22" s="25"/>
      <c r="C22" s="25"/>
      <c r="D22" s="25"/>
      <c r="E22" s="25"/>
      <c r="F22" s="25"/>
      <c r="G22" s="73"/>
      <c r="H22" s="73"/>
      <c r="I22" s="73"/>
      <c r="J22" s="73"/>
      <c r="K22" s="73"/>
      <c r="L22" s="73"/>
      <c r="M22" s="73"/>
      <c r="N22" s="25"/>
      <c r="O22" s="25"/>
      <c r="P22" s="25"/>
    </row>
    <row r="23" spans="1:16" ht="15.75" customHeight="1">
      <c r="A23" s="21">
        <v>200</v>
      </c>
      <c r="B23" s="25"/>
      <c r="C23" s="78">
        <v>14300</v>
      </c>
      <c r="D23" s="79">
        <v>14300</v>
      </c>
      <c r="E23" s="79">
        <v>18500</v>
      </c>
      <c r="F23" s="79">
        <v>20600</v>
      </c>
      <c r="G23" s="79">
        <v>14300</v>
      </c>
      <c r="H23" s="79">
        <v>14300</v>
      </c>
      <c r="I23" s="79">
        <v>18500</v>
      </c>
      <c r="J23" s="79">
        <v>20600</v>
      </c>
      <c r="K23" s="79">
        <v>22700</v>
      </c>
      <c r="L23" s="79">
        <v>14300</v>
      </c>
      <c r="M23" s="79">
        <v>18500</v>
      </c>
      <c r="N23" s="79">
        <v>22700</v>
      </c>
      <c r="O23" s="79">
        <v>24800</v>
      </c>
      <c r="P23" s="79">
        <v>24800</v>
      </c>
    </row>
    <row r="24" spans="1:16" ht="15.75" customHeight="1">
      <c r="A24" s="21">
        <v>300</v>
      </c>
      <c r="B24" s="25"/>
      <c r="C24" s="80">
        <v>17500</v>
      </c>
      <c r="D24" s="81">
        <v>17500</v>
      </c>
      <c r="E24" s="81">
        <v>23800</v>
      </c>
      <c r="F24" s="81">
        <v>26900</v>
      </c>
      <c r="G24" s="81">
        <v>17500</v>
      </c>
      <c r="H24" s="81">
        <v>17500</v>
      </c>
      <c r="I24" s="81">
        <v>23800</v>
      </c>
      <c r="J24" s="81">
        <v>26900</v>
      </c>
      <c r="K24" s="81">
        <v>30100</v>
      </c>
      <c r="L24" s="81">
        <v>17500</v>
      </c>
      <c r="M24" s="81">
        <v>23800</v>
      </c>
      <c r="N24" s="81">
        <v>30100</v>
      </c>
      <c r="O24" s="81">
        <v>33200</v>
      </c>
      <c r="P24" s="81">
        <v>33200</v>
      </c>
    </row>
    <row r="25" spans="1:16" ht="15.75" customHeight="1">
      <c r="A25" s="21">
        <v>400</v>
      </c>
      <c r="B25" s="25"/>
      <c r="C25" s="80">
        <v>20600</v>
      </c>
      <c r="D25" s="81">
        <v>20600</v>
      </c>
      <c r="E25" s="81">
        <v>29000</v>
      </c>
      <c r="F25" s="81">
        <v>33200</v>
      </c>
      <c r="G25" s="81">
        <v>20600</v>
      </c>
      <c r="H25" s="81">
        <v>20600</v>
      </c>
      <c r="I25" s="81">
        <v>29000</v>
      </c>
      <c r="J25" s="81">
        <v>33200</v>
      </c>
      <c r="K25" s="81">
        <v>37400</v>
      </c>
      <c r="L25" s="81">
        <v>20600</v>
      </c>
      <c r="M25" s="81">
        <v>29000</v>
      </c>
      <c r="N25" s="81">
        <v>37400</v>
      </c>
      <c r="O25" s="81">
        <v>41600</v>
      </c>
      <c r="P25" s="81">
        <v>41600</v>
      </c>
    </row>
    <row r="26" spans="1:16" ht="15.75" customHeight="1">
      <c r="A26" s="21">
        <v>500</v>
      </c>
      <c r="B26" s="25"/>
      <c r="C26" s="80">
        <v>23800</v>
      </c>
      <c r="D26" s="81">
        <v>23800</v>
      </c>
      <c r="E26" s="81">
        <v>34300</v>
      </c>
      <c r="F26" s="81">
        <v>39500</v>
      </c>
      <c r="G26" s="81">
        <v>23800</v>
      </c>
      <c r="H26" s="81">
        <v>23800</v>
      </c>
      <c r="I26" s="81">
        <v>34300</v>
      </c>
      <c r="J26" s="81">
        <v>39500</v>
      </c>
      <c r="K26" s="81">
        <v>44800</v>
      </c>
      <c r="L26" s="81">
        <v>23800</v>
      </c>
      <c r="M26" s="81">
        <v>34300</v>
      </c>
      <c r="N26" s="81">
        <v>44800</v>
      </c>
      <c r="O26" s="81">
        <v>50000</v>
      </c>
      <c r="P26" s="81">
        <v>50000</v>
      </c>
    </row>
    <row r="27" spans="1:16" ht="15.75" customHeight="1">
      <c r="A27" s="21">
        <v>600</v>
      </c>
      <c r="B27" s="25"/>
      <c r="C27" s="80">
        <v>22900</v>
      </c>
      <c r="D27" s="81">
        <v>22900</v>
      </c>
      <c r="E27" s="81">
        <v>35500</v>
      </c>
      <c r="F27" s="81">
        <v>41800</v>
      </c>
      <c r="G27" s="81">
        <v>22900</v>
      </c>
      <c r="H27" s="81">
        <v>22900</v>
      </c>
      <c r="I27" s="81">
        <v>35500</v>
      </c>
      <c r="J27" s="81">
        <v>41800</v>
      </c>
      <c r="K27" s="81">
        <v>48100</v>
      </c>
      <c r="L27" s="81">
        <v>22900</v>
      </c>
      <c r="M27" s="81">
        <v>35500</v>
      </c>
      <c r="N27" s="81">
        <v>48100</v>
      </c>
      <c r="O27" s="81">
        <v>54400</v>
      </c>
      <c r="P27" s="81">
        <v>54400</v>
      </c>
    </row>
    <row r="28" spans="1:16" ht="15.75" customHeight="1">
      <c r="A28" s="21">
        <v>700</v>
      </c>
      <c r="B28" s="25"/>
      <c r="C28" s="80">
        <v>30100</v>
      </c>
      <c r="D28" s="81">
        <v>30100</v>
      </c>
      <c r="E28" s="81">
        <v>44800</v>
      </c>
      <c r="F28" s="81">
        <v>52100</v>
      </c>
      <c r="G28" s="81">
        <v>30100</v>
      </c>
      <c r="H28" s="81">
        <v>30100</v>
      </c>
      <c r="I28" s="81">
        <v>44800</v>
      </c>
      <c r="J28" s="81">
        <v>52100</v>
      </c>
      <c r="K28" s="81">
        <v>59500</v>
      </c>
      <c r="L28" s="81">
        <v>30100</v>
      </c>
      <c r="M28" s="81">
        <v>44800</v>
      </c>
      <c r="N28" s="81">
        <v>59500</v>
      </c>
      <c r="O28" s="81">
        <v>66800</v>
      </c>
      <c r="P28" s="81">
        <v>66800</v>
      </c>
    </row>
    <row r="29" spans="1:16" ht="15.75" customHeight="1">
      <c r="A29" s="21">
        <v>800</v>
      </c>
      <c r="B29" s="25"/>
      <c r="C29" s="80">
        <v>33200</v>
      </c>
      <c r="D29" s="81">
        <v>33200</v>
      </c>
      <c r="E29" s="81">
        <v>50000</v>
      </c>
      <c r="F29" s="81">
        <v>58400</v>
      </c>
      <c r="G29" s="81">
        <v>33200</v>
      </c>
      <c r="H29" s="81">
        <v>33200</v>
      </c>
      <c r="I29" s="81">
        <v>50000</v>
      </c>
      <c r="J29" s="81">
        <v>58400</v>
      </c>
      <c r="K29" s="81">
        <v>66800</v>
      </c>
      <c r="L29" s="81">
        <v>33200</v>
      </c>
      <c r="M29" s="81">
        <v>50000</v>
      </c>
      <c r="N29" s="81">
        <v>66800</v>
      </c>
      <c r="O29" s="81">
        <v>75200</v>
      </c>
      <c r="P29" s="81">
        <v>75200</v>
      </c>
    </row>
    <row r="30" spans="1:16" ht="15.75" customHeight="1">
      <c r="A30" s="21">
        <v>900</v>
      </c>
      <c r="B30" s="25"/>
      <c r="C30" s="80">
        <v>36400</v>
      </c>
      <c r="D30" s="81">
        <v>36400</v>
      </c>
      <c r="E30" s="81">
        <v>55300</v>
      </c>
      <c r="F30" s="81">
        <v>64700</v>
      </c>
      <c r="G30" s="81">
        <v>36400</v>
      </c>
      <c r="H30" s="81">
        <v>36400</v>
      </c>
      <c r="I30" s="81">
        <v>55300</v>
      </c>
      <c r="J30" s="81">
        <v>64700</v>
      </c>
      <c r="K30" s="81">
        <v>74200</v>
      </c>
      <c r="L30" s="81">
        <v>36400</v>
      </c>
      <c r="M30" s="81">
        <v>55300</v>
      </c>
      <c r="N30" s="81">
        <v>74200</v>
      </c>
      <c r="O30" s="81">
        <v>83600</v>
      </c>
      <c r="P30" s="81">
        <v>83600</v>
      </c>
    </row>
    <row r="31" spans="1:16" ht="15.75" customHeight="1">
      <c r="A31" s="21">
        <v>1000</v>
      </c>
      <c r="B31" s="25"/>
      <c r="C31" s="80">
        <v>39500</v>
      </c>
      <c r="D31" s="81">
        <v>39500</v>
      </c>
      <c r="E31" s="81">
        <v>60500</v>
      </c>
      <c r="F31" s="81">
        <v>71000</v>
      </c>
      <c r="G31" s="81">
        <v>39500</v>
      </c>
      <c r="H31" s="81">
        <v>39500</v>
      </c>
      <c r="I31" s="81">
        <v>60500</v>
      </c>
      <c r="J31" s="81">
        <v>71000</v>
      </c>
      <c r="K31" s="81">
        <v>81500</v>
      </c>
      <c r="L31" s="81">
        <v>39500</v>
      </c>
      <c r="M31" s="81">
        <v>60500</v>
      </c>
      <c r="N31" s="81">
        <v>81500</v>
      </c>
      <c r="O31" s="81">
        <v>92000</v>
      </c>
      <c r="P31" s="81">
        <v>92000</v>
      </c>
    </row>
    <row r="32" spans="1:16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6:P6"/>
    <mergeCell ref="A20:P20"/>
  </mergeCells>
  <phoneticPr fontId="37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0000"/>
    <outlinePr summaryBelow="0" summaryRight="0"/>
  </sheetPr>
  <dimension ref="A1:N1000"/>
  <sheetViews>
    <sheetView workbookViewId="0"/>
  </sheetViews>
  <sheetFormatPr defaultColWidth="12.5703125" defaultRowHeight="15" customHeight="1"/>
  <cols>
    <col min="1" max="6" width="12.5703125" customWidth="1"/>
    <col min="14" max="14" width="16.28515625" customWidth="1"/>
  </cols>
  <sheetData>
    <row r="1" spans="1:14" ht="15.75" customHeight="1">
      <c r="A1" s="6" t="s">
        <v>281</v>
      </c>
    </row>
    <row r="2" spans="1:14" ht="15.75" customHeight="1">
      <c r="A2" s="6" t="s">
        <v>282</v>
      </c>
      <c r="B2" s="195" t="s">
        <v>11</v>
      </c>
      <c r="C2" s="182"/>
      <c r="D2" s="182"/>
      <c r="E2" s="182"/>
      <c r="F2" s="195" t="s">
        <v>283</v>
      </c>
      <c r="G2" s="182"/>
      <c r="H2" s="182"/>
      <c r="I2" s="182"/>
      <c r="J2" s="195" t="s">
        <v>13</v>
      </c>
      <c r="K2" s="182"/>
      <c r="L2" s="182"/>
      <c r="M2" s="182"/>
    </row>
    <row r="3" spans="1:14" ht="15.75" customHeight="1">
      <c r="A3" s="6"/>
      <c r="B3" s="196"/>
      <c r="C3" s="182"/>
      <c r="D3" s="182"/>
      <c r="E3" s="182"/>
      <c r="F3" s="196"/>
      <c r="G3" s="182"/>
      <c r="H3" s="182"/>
      <c r="I3" s="182"/>
      <c r="J3" s="196"/>
      <c r="K3" s="182"/>
      <c r="L3" s="182"/>
      <c r="M3" s="182"/>
    </row>
    <row r="4" spans="1:14" ht="15.75" customHeight="1">
      <c r="A4" s="6" t="s">
        <v>284</v>
      </c>
      <c r="B4" s="195" t="s">
        <v>285</v>
      </c>
      <c r="C4" s="182"/>
      <c r="D4" s="195" t="s">
        <v>286</v>
      </c>
      <c r="E4" s="182"/>
      <c r="F4" s="195" t="s">
        <v>285</v>
      </c>
      <c r="G4" s="182"/>
      <c r="H4" s="195" t="s">
        <v>286</v>
      </c>
      <c r="I4" s="182"/>
      <c r="J4" s="195" t="s">
        <v>285</v>
      </c>
      <c r="K4" s="182"/>
      <c r="L4" s="195" t="s">
        <v>286</v>
      </c>
      <c r="M4" s="182"/>
    </row>
    <row r="5" spans="1:14" ht="15.75" customHeight="1">
      <c r="A5" s="6"/>
      <c r="B5" s="196"/>
      <c r="C5" s="182"/>
      <c r="D5" s="196"/>
      <c r="E5" s="182"/>
      <c r="F5" s="196"/>
      <c r="G5" s="182"/>
      <c r="H5" s="196"/>
      <c r="I5" s="182"/>
      <c r="J5" s="196"/>
      <c r="K5" s="182"/>
      <c r="L5" s="196"/>
      <c r="M5" s="182"/>
    </row>
    <row r="6" spans="1:14" ht="15.75" customHeight="1">
      <c r="A6" s="6" t="s">
        <v>287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</row>
    <row r="7" spans="1:14" ht="15.75" customHeight="1">
      <c r="A7" s="6"/>
      <c r="B7" s="82"/>
      <c r="C7" s="82"/>
      <c r="D7" s="82"/>
      <c r="E7" s="82"/>
      <c r="F7" s="82"/>
      <c r="G7" s="82"/>
      <c r="H7" s="82"/>
      <c r="I7" s="82"/>
      <c r="J7" s="82"/>
      <c r="K7" s="82"/>
      <c r="L7" s="82"/>
      <c r="M7" s="82"/>
    </row>
    <row r="8" spans="1:14" ht="15.75" customHeight="1">
      <c r="A8" s="6"/>
      <c r="B8" s="6" t="str">
        <f>B3&amp;B5&amp;B7</f>
        <v/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spans="1:14" ht="15.75" customHeight="1">
      <c r="A9" s="83">
        <v>2</v>
      </c>
      <c r="B9" s="83">
        <v>11000</v>
      </c>
      <c r="C9" s="83">
        <v>11500</v>
      </c>
      <c r="D9" s="83">
        <v>11500</v>
      </c>
      <c r="E9" s="83">
        <v>12500</v>
      </c>
      <c r="F9" s="83">
        <v>11000</v>
      </c>
      <c r="G9" s="83">
        <v>11500</v>
      </c>
      <c r="H9" s="83">
        <v>11500</v>
      </c>
      <c r="I9" s="83">
        <v>12500</v>
      </c>
      <c r="J9" s="83">
        <v>12000</v>
      </c>
      <c r="K9" s="83">
        <v>12500</v>
      </c>
      <c r="L9" s="83">
        <v>12500</v>
      </c>
      <c r="M9" s="83">
        <v>13500</v>
      </c>
      <c r="N9" s="13"/>
    </row>
    <row r="10" spans="1:14" ht="15.75" customHeight="1">
      <c r="A10" s="83">
        <v>4</v>
      </c>
      <c r="B10" s="83">
        <v>9100</v>
      </c>
      <c r="C10" s="83">
        <v>9900</v>
      </c>
      <c r="D10" s="83">
        <v>9200</v>
      </c>
      <c r="E10" s="83">
        <v>10000</v>
      </c>
      <c r="F10" s="83">
        <v>9100</v>
      </c>
      <c r="G10" s="83">
        <v>9900</v>
      </c>
      <c r="H10" s="83">
        <v>9200</v>
      </c>
      <c r="I10" s="83">
        <v>10000</v>
      </c>
      <c r="J10" s="83">
        <v>9800</v>
      </c>
      <c r="K10" s="83">
        <v>10500</v>
      </c>
      <c r="L10" s="83">
        <v>10100</v>
      </c>
      <c r="M10" s="83">
        <v>10800</v>
      </c>
      <c r="N10" s="84"/>
    </row>
    <row r="11" spans="1:14" ht="15.75" customHeight="1">
      <c r="A11" s="83">
        <v>6</v>
      </c>
      <c r="B11" s="83">
        <v>7300</v>
      </c>
      <c r="C11" s="83">
        <v>8100</v>
      </c>
      <c r="D11" s="83">
        <v>7500</v>
      </c>
      <c r="E11" s="83">
        <v>8300</v>
      </c>
      <c r="F11" s="83">
        <v>7300</v>
      </c>
      <c r="G11" s="83">
        <v>8100</v>
      </c>
      <c r="H11" s="83">
        <v>7500</v>
      </c>
      <c r="I11" s="83">
        <v>8300</v>
      </c>
      <c r="J11" s="83">
        <v>8000</v>
      </c>
      <c r="K11" s="83">
        <v>8600</v>
      </c>
      <c r="L11" s="83">
        <v>8300</v>
      </c>
      <c r="M11" s="83">
        <v>8900</v>
      </c>
    </row>
    <row r="12" spans="1:14" ht="15.75" customHeight="1">
      <c r="A12" s="83">
        <v>8</v>
      </c>
      <c r="B12" s="83">
        <v>7100</v>
      </c>
      <c r="C12" s="83">
        <v>7900</v>
      </c>
      <c r="D12" s="83">
        <v>7300</v>
      </c>
      <c r="E12" s="83">
        <v>8100</v>
      </c>
      <c r="F12" s="83">
        <v>7100</v>
      </c>
      <c r="G12" s="83">
        <v>7900</v>
      </c>
      <c r="H12" s="83">
        <v>7300</v>
      </c>
      <c r="I12" s="83">
        <v>8100</v>
      </c>
      <c r="J12" s="83">
        <v>7800</v>
      </c>
      <c r="K12" s="83">
        <v>8400</v>
      </c>
      <c r="L12" s="83">
        <v>8100</v>
      </c>
      <c r="M12" s="83">
        <v>8700</v>
      </c>
      <c r="N12" s="85"/>
    </row>
    <row r="13" spans="1:14" ht="15.75" customHeight="1">
      <c r="A13" s="83">
        <v>10</v>
      </c>
      <c r="B13" s="83">
        <v>6900</v>
      </c>
      <c r="C13" s="83">
        <v>7700</v>
      </c>
      <c r="D13" s="83">
        <v>7100</v>
      </c>
      <c r="E13" s="83">
        <v>7900</v>
      </c>
      <c r="F13" s="83">
        <v>6900</v>
      </c>
      <c r="G13" s="83">
        <v>7700</v>
      </c>
      <c r="H13" s="83">
        <v>7100</v>
      </c>
      <c r="I13" s="83">
        <v>7900</v>
      </c>
      <c r="J13" s="83">
        <v>7600</v>
      </c>
      <c r="K13" s="83">
        <v>8200</v>
      </c>
      <c r="L13" s="83">
        <v>7900</v>
      </c>
      <c r="M13" s="83">
        <v>8500</v>
      </c>
    </row>
    <row r="14" spans="1:14" ht="15.75" customHeight="1">
      <c r="A14" s="83">
        <v>20</v>
      </c>
      <c r="B14" s="83">
        <v>5200</v>
      </c>
      <c r="C14" s="83">
        <v>6000</v>
      </c>
      <c r="D14" s="83">
        <v>5400</v>
      </c>
      <c r="E14" s="83">
        <v>6200</v>
      </c>
      <c r="F14" s="83">
        <v>5200</v>
      </c>
      <c r="G14" s="83">
        <v>6000</v>
      </c>
      <c r="H14" s="83">
        <v>5400</v>
      </c>
      <c r="I14" s="83">
        <v>6200</v>
      </c>
      <c r="J14" s="83">
        <v>5900</v>
      </c>
      <c r="K14" s="83">
        <v>6500</v>
      </c>
      <c r="L14" s="83">
        <v>6200</v>
      </c>
      <c r="M14" s="83">
        <v>6800</v>
      </c>
    </row>
    <row r="15" spans="1:14" ht="15.75" customHeight="1">
      <c r="A15" s="83">
        <v>30</v>
      </c>
      <c r="B15" s="83">
        <v>5030</v>
      </c>
      <c r="C15" s="83">
        <v>5800</v>
      </c>
      <c r="D15" s="83">
        <v>5230</v>
      </c>
      <c r="E15" s="83">
        <v>6000</v>
      </c>
      <c r="F15" s="83">
        <v>5030</v>
      </c>
      <c r="G15" s="83">
        <v>5800</v>
      </c>
      <c r="H15" s="83">
        <v>5230</v>
      </c>
      <c r="I15" s="83">
        <v>6000</v>
      </c>
      <c r="J15" s="83">
        <v>5750</v>
      </c>
      <c r="K15" s="83">
        <v>6350</v>
      </c>
      <c r="L15" s="83">
        <v>6050</v>
      </c>
      <c r="M15" s="83">
        <v>6650</v>
      </c>
    </row>
    <row r="16" spans="1:14" ht="15.75" customHeight="1">
      <c r="A16" s="83">
        <v>40</v>
      </c>
      <c r="B16" s="83">
        <v>4870</v>
      </c>
      <c r="C16" s="83">
        <v>5600</v>
      </c>
      <c r="D16" s="83">
        <v>5070</v>
      </c>
      <c r="E16" s="83">
        <v>5800</v>
      </c>
      <c r="F16" s="83">
        <v>4870</v>
      </c>
      <c r="G16" s="83">
        <v>5600</v>
      </c>
      <c r="H16" s="83">
        <v>5070</v>
      </c>
      <c r="I16" s="83">
        <v>5800</v>
      </c>
      <c r="J16" s="83">
        <v>5600</v>
      </c>
      <c r="K16" s="83">
        <v>6200</v>
      </c>
      <c r="L16" s="83">
        <v>5900</v>
      </c>
      <c r="M16" s="83">
        <v>6500</v>
      </c>
    </row>
    <row r="17" spans="1:13" ht="15.75" customHeight="1">
      <c r="A17" s="83">
        <v>50</v>
      </c>
      <c r="B17" s="83">
        <v>4700</v>
      </c>
      <c r="C17" s="83">
        <v>5400</v>
      </c>
      <c r="D17" s="83">
        <v>4900</v>
      </c>
      <c r="E17" s="83">
        <v>5600</v>
      </c>
      <c r="F17" s="83">
        <v>4700</v>
      </c>
      <c r="G17" s="83">
        <v>5400</v>
      </c>
      <c r="H17" s="83">
        <v>4900</v>
      </c>
      <c r="I17" s="83">
        <v>5600</v>
      </c>
      <c r="J17" s="83">
        <v>5450</v>
      </c>
      <c r="K17" s="83">
        <v>6050</v>
      </c>
      <c r="L17" s="83">
        <v>5750</v>
      </c>
      <c r="M17" s="83">
        <v>6350</v>
      </c>
    </row>
    <row r="18" spans="1:13" ht="15.75" customHeight="1">
      <c r="A18" s="83">
        <v>60</v>
      </c>
      <c r="B18" s="83">
        <v>4660</v>
      </c>
      <c r="C18" s="83">
        <v>5340</v>
      </c>
      <c r="D18" s="83">
        <v>4820</v>
      </c>
      <c r="E18" s="83">
        <v>5540</v>
      </c>
      <c r="F18" s="83">
        <v>4660</v>
      </c>
      <c r="G18" s="83">
        <v>5340</v>
      </c>
      <c r="H18" s="83">
        <v>4820</v>
      </c>
      <c r="I18" s="83">
        <v>5540</v>
      </c>
      <c r="J18" s="83">
        <v>5380</v>
      </c>
      <c r="K18" s="83">
        <v>5980</v>
      </c>
      <c r="L18" s="83">
        <v>5680</v>
      </c>
      <c r="M18" s="83">
        <v>6280</v>
      </c>
    </row>
    <row r="19" spans="1:13" ht="15.75" customHeight="1">
      <c r="A19" s="83">
        <v>70</v>
      </c>
      <c r="B19" s="83">
        <v>4620</v>
      </c>
      <c r="C19" s="83">
        <v>5280</v>
      </c>
      <c r="D19" s="83">
        <v>4740</v>
      </c>
      <c r="E19" s="83">
        <v>5480</v>
      </c>
      <c r="F19" s="83">
        <v>4620</v>
      </c>
      <c r="G19" s="83">
        <v>5280</v>
      </c>
      <c r="H19" s="83">
        <v>4740</v>
      </c>
      <c r="I19" s="83">
        <v>5480</v>
      </c>
      <c r="J19" s="83">
        <v>5310</v>
      </c>
      <c r="K19" s="83">
        <v>5910</v>
      </c>
      <c r="L19" s="83">
        <v>5610</v>
      </c>
      <c r="M19" s="83">
        <v>6210</v>
      </c>
    </row>
    <row r="20" spans="1:13" ht="15.75" customHeight="1">
      <c r="A20" s="83">
        <v>80</v>
      </c>
      <c r="B20" s="83">
        <v>4580</v>
      </c>
      <c r="C20" s="83">
        <v>5220</v>
      </c>
      <c r="D20" s="83">
        <v>4660</v>
      </c>
      <c r="E20" s="83">
        <v>5420</v>
      </c>
      <c r="F20" s="83">
        <v>4580</v>
      </c>
      <c r="G20" s="83">
        <v>5220</v>
      </c>
      <c r="H20" s="83">
        <v>4660</v>
      </c>
      <c r="I20" s="83">
        <v>5420</v>
      </c>
      <c r="J20" s="83">
        <v>5240</v>
      </c>
      <c r="K20" s="83">
        <v>5840</v>
      </c>
      <c r="L20" s="83">
        <v>5540</v>
      </c>
      <c r="M20" s="83">
        <v>6140</v>
      </c>
    </row>
    <row r="21" spans="1:13" ht="15.75" customHeight="1">
      <c r="A21" s="83">
        <v>90</v>
      </c>
      <c r="B21" s="83">
        <v>4540</v>
      </c>
      <c r="C21" s="83">
        <v>5160</v>
      </c>
      <c r="D21" s="83">
        <v>4580</v>
      </c>
      <c r="E21" s="83">
        <v>5360</v>
      </c>
      <c r="F21" s="83">
        <v>4540</v>
      </c>
      <c r="G21" s="83">
        <v>5160</v>
      </c>
      <c r="H21" s="83">
        <v>4580</v>
      </c>
      <c r="I21" s="83">
        <v>5360</v>
      </c>
      <c r="J21" s="83">
        <v>5170</v>
      </c>
      <c r="K21" s="83">
        <v>5770</v>
      </c>
      <c r="L21" s="83">
        <v>5470</v>
      </c>
      <c r="M21" s="83">
        <v>6070</v>
      </c>
    </row>
    <row r="22" spans="1:13" ht="15.75" customHeight="1">
      <c r="A22" s="83">
        <v>100</v>
      </c>
      <c r="B22" s="83">
        <v>4500</v>
      </c>
      <c r="C22" s="83">
        <v>5100</v>
      </c>
      <c r="D22" s="83">
        <v>4500</v>
      </c>
      <c r="E22" s="83">
        <v>5300</v>
      </c>
      <c r="F22" s="83">
        <v>4500</v>
      </c>
      <c r="G22" s="83">
        <v>5100</v>
      </c>
      <c r="H22" s="83">
        <v>4500</v>
      </c>
      <c r="I22" s="83">
        <v>5300</v>
      </c>
      <c r="J22" s="83">
        <v>5100</v>
      </c>
      <c r="K22" s="83">
        <v>5700</v>
      </c>
      <c r="L22" s="83">
        <v>5400</v>
      </c>
      <c r="M22" s="83">
        <v>6000</v>
      </c>
    </row>
    <row r="23" spans="1:13" ht="15.75" customHeight="1">
      <c r="A23" s="83">
        <v>120</v>
      </c>
      <c r="B23" s="83">
        <v>4340</v>
      </c>
      <c r="C23" s="83">
        <v>4980</v>
      </c>
      <c r="D23" s="83">
        <v>4380</v>
      </c>
      <c r="E23" s="83">
        <v>5180</v>
      </c>
      <c r="F23" s="83">
        <v>4340</v>
      </c>
      <c r="G23" s="83">
        <v>4980</v>
      </c>
      <c r="H23" s="83">
        <v>4380</v>
      </c>
      <c r="I23" s="83">
        <v>5180</v>
      </c>
      <c r="J23" s="83">
        <v>4960</v>
      </c>
      <c r="K23" s="83">
        <v>5540</v>
      </c>
      <c r="L23" s="83">
        <v>5260</v>
      </c>
      <c r="M23" s="83">
        <v>5840</v>
      </c>
    </row>
    <row r="24" spans="1:13" ht="15.75" customHeight="1">
      <c r="A24" s="83">
        <v>140</v>
      </c>
      <c r="B24" s="83">
        <v>4180</v>
      </c>
      <c r="C24" s="83">
        <v>4860</v>
      </c>
      <c r="D24" s="83">
        <v>4260</v>
      </c>
      <c r="E24" s="83">
        <v>5060</v>
      </c>
      <c r="F24" s="83">
        <v>4180</v>
      </c>
      <c r="G24" s="83">
        <v>4860</v>
      </c>
      <c r="H24" s="83">
        <v>4260</v>
      </c>
      <c r="I24" s="83">
        <v>5060</v>
      </c>
      <c r="J24" s="83">
        <v>4820</v>
      </c>
      <c r="K24" s="83">
        <v>5380</v>
      </c>
      <c r="L24" s="83">
        <v>5120</v>
      </c>
      <c r="M24" s="83">
        <v>5680</v>
      </c>
    </row>
    <row r="25" spans="1:13" ht="15.75" customHeight="1">
      <c r="A25" s="83">
        <v>160</v>
      </c>
      <c r="B25" s="83">
        <v>4020</v>
      </c>
      <c r="C25" s="83">
        <v>4740</v>
      </c>
      <c r="D25" s="83">
        <v>4140</v>
      </c>
      <c r="E25" s="83">
        <v>4940</v>
      </c>
      <c r="F25" s="83">
        <v>4020</v>
      </c>
      <c r="G25" s="83">
        <v>4740</v>
      </c>
      <c r="H25" s="83">
        <v>4140</v>
      </c>
      <c r="I25" s="83">
        <v>4940</v>
      </c>
      <c r="J25" s="83">
        <v>4680</v>
      </c>
      <c r="K25" s="83">
        <v>5220</v>
      </c>
      <c r="L25" s="83">
        <v>4980</v>
      </c>
      <c r="M25" s="83">
        <v>5520</v>
      </c>
    </row>
    <row r="26" spans="1:13" ht="15.75" customHeight="1">
      <c r="A26" s="83">
        <v>180</v>
      </c>
      <c r="B26" s="83">
        <v>3860</v>
      </c>
      <c r="C26" s="83">
        <v>4620</v>
      </c>
      <c r="D26" s="83">
        <v>4020</v>
      </c>
      <c r="E26" s="83">
        <v>4820</v>
      </c>
      <c r="F26" s="83">
        <v>3860</v>
      </c>
      <c r="G26" s="83">
        <v>4620</v>
      </c>
      <c r="H26" s="83">
        <v>4020</v>
      </c>
      <c r="I26" s="83">
        <v>4820</v>
      </c>
      <c r="J26" s="83">
        <v>4540</v>
      </c>
      <c r="K26" s="83">
        <v>5060</v>
      </c>
      <c r="L26" s="83">
        <v>4840</v>
      </c>
      <c r="M26" s="83">
        <v>5360</v>
      </c>
    </row>
    <row r="27" spans="1:13" ht="15.75" customHeight="1">
      <c r="A27" s="83">
        <v>200</v>
      </c>
      <c r="B27" s="83">
        <v>3700</v>
      </c>
      <c r="C27" s="83">
        <v>4500</v>
      </c>
      <c r="D27" s="83">
        <v>3900</v>
      </c>
      <c r="E27" s="83">
        <v>4700</v>
      </c>
      <c r="F27" s="83">
        <v>3700</v>
      </c>
      <c r="G27" s="83">
        <v>4500</v>
      </c>
      <c r="H27" s="83">
        <v>3900</v>
      </c>
      <c r="I27" s="83">
        <v>4700</v>
      </c>
      <c r="J27" s="83">
        <v>4400</v>
      </c>
      <c r="K27" s="83">
        <v>4900</v>
      </c>
      <c r="L27" s="83">
        <v>4700</v>
      </c>
      <c r="M27" s="83">
        <v>5200</v>
      </c>
    </row>
    <row r="28" spans="1:13" ht="15.75" customHeight="1">
      <c r="A28" s="83">
        <v>250</v>
      </c>
      <c r="B28" s="83">
        <v>3570</v>
      </c>
      <c r="C28" s="83">
        <v>4400</v>
      </c>
      <c r="D28" s="83">
        <v>3770</v>
      </c>
      <c r="E28" s="83">
        <v>4600</v>
      </c>
      <c r="F28" s="83">
        <v>3570</v>
      </c>
      <c r="G28" s="83">
        <v>4400</v>
      </c>
      <c r="H28" s="83">
        <v>3770</v>
      </c>
      <c r="I28" s="83">
        <v>4600</v>
      </c>
      <c r="J28" s="83">
        <v>4350</v>
      </c>
      <c r="K28" s="83">
        <v>4850</v>
      </c>
      <c r="L28" s="83">
        <v>4650</v>
      </c>
      <c r="M28" s="83">
        <v>5150</v>
      </c>
    </row>
    <row r="29" spans="1:13" ht="15.75" customHeight="1">
      <c r="A29" s="83">
        <v>300</v>
      </c>
      <c r="B29" s="83">
        <v>3450</v>
      </c>
      <c r="C29" s="83">
        <v>4300</v>
      </c>
      <c r="D29" s="83">
        <v>3650</v>
      </c>
      <c r="E29" s="83">
        <v>4500</v>
      </c>
      <c r="F29" s="83">
        <v>3450</v>
      </c>
      <c r="G29" s="83">
        <v>4300</v>
      </c>
      <c r="H29" s="83">
        <v>3650</v>
      </c>
      <c r="I29" s="83">
        <v>4500</v>
      </c>
      <c r="J29" s="83">
        <v>4300</v>
      </c>
      <c r="K29" s="83">
        <v>4800</v>
      </c>
      <c r="L29" s="83">
        <v>4600</v>
      </c>
      <c r="M29" s="83">
        <v>5100</v>
      </c>
    </row>
    <row r="30" spans="1:13" ht="15.75" customHeight="1">
      <c r="A30" s="83">
        <v>350</v>
      </c>
      <c r="B30" s="83">
        <v>3300</v>
      </c>
      <c r="C30" s="83">
        <v>4150</v>
      </c>
      <c r="D30" s="83">
        <v>3500</v>
      </c>
      <c r="E30" s="83">
        <v>4350</v>
      </c>
      <c r="F30" s="83">
        <v>3300</v>
      </c>
      <c r="G30" s="83">
        <v>4150</v>
      </c>
      <c r="H30" s="83">
        <v>3500</v>
      </c>
      <c r="I30" s="83">
        <v>4350</v>
      </c>
      <c r="J30" s="83">
        <v>4200</v>
      </c>
      <c r="K30" s="83">
        <v>4700</v>
      </c>
      <c r="L30" s="83">
        <v>4500</v>
      </c>
      <c r="M30" s="83">
        <v>5000</v>
      </c>
    </row>
    <row r="31" spans="1:13" ht="15.75" customHeight="1">
      <c r="A31" s="83">
        <v>400</v>
      </c>
      <c r="B31" s="83">
        <v>3150</v>
      </c>
      <c r="C31" s="83">
        <v>4000</v>
      </c>
      <c r="D31" s="83">
        <v>3350</v>
      </c>
      <c r="E31" s="83">
        <v>4200</v>
      </c>
      <c r="F31" s="83">
        <v>3150</v>
      </c>
      <c r="G31" s="83">
        <v>4000</v>
      </c>
      <c r="H31" s="83">
        <v>3350</v>
      </c>
      <c r="I31" s="83">
        <v>4200</v>
      </c>
      <c r="J31" s="83">
        <v>4100</v>
      </c>
      <c r="K31" s="83">
        <v>4600</v>
      </c>
      <c r="L31" s="83">
        <v>4400</v>
      </c>
      <c r="M31" s="83">
        <v>4900</v>
      </c>
    </row>
    <row r="32" spans="1:13" ht="15.75" customHeight="1">
      <c r="A32" s="83">
        <v>450</v>
      </c>
      <c r="B32" s="83">
        <v>3130</v>
      </c>
      <c r="C32" s="83">
        <v>3910</v>
      </c>
      <c r="D32" s="83">
        <v>3280</v>
      </c>
      <c r="E32" s="83">
        <v>4090</v>
      </c>
      <c r="F32" s="83">
        <v>3130</v>
      </c>
      <c r="G32" s="83">
        <v>3910</v>
      </c>
      <c r="H32" s="83">
        <v>3280</v>
      </c>
      <c r="I32" s="83">
        <v>4090</v>
      </c>
      <c r="J32" s="83">
        <v>3950</v>
      </c>
      <c r="K32" s="83">
        <v>4500</v>
      </c>
      <c r="L32" s="83">
        <v>4200</v>
      </c>
      <c r="M32" s="83">
        <v>4800</v>
      </c>
    </row>
    <row r="33" spans="1:13" ht="15.75" customHeight="1">
      <c r="A33" s="83">
        <v>500</v>
      </c>
      <c r="B33" s="83">
        <v>3090</v>
      </c>
      <c r="C33" s="83">
        <v>3820</v>
      </c>
      <c r="D33" s="83">
        <v>3200</v>
      </c>
      <c r="E33" s="83">
        <v>3970</v>
      </c>
      <c r="F33" s="83">
        <v>3090</v>
      </c>
      <c r="G33" s="83">
        <v>3820</v>
      </c>
      <c r="H33" s="83">
        <v>3200</v>
      </c>
      <c r="I33" s="83">
        <v>3970</v>
      </c>
      <c r="J33" s="83">
        <v>3800</v>
      </c>
      <c r="K33" s="83">
        <v>4400</v>
      </c>
      <c r="L33" s="83">
        <v>4000</v>
      </c>
      <c r="M33" s="83">
        <v>4700</v>
      </c>
    </row>
    <row r="34" spans="1:13" ht="15.75" customHeight="1">
      <c r="A34" s="83">
        <v>550</v>
      </c>
      <c r="B34" s="83">
        <v>3010</v>
      </c>
      <c r="C34" s="83">
        <v>3740</v>
      </c>
      <c r="D34" s="83">
        <v>3120</v>
      </c>
      <c r="E34" s="83">
        <v>3890</v>
      </c>
      <c r="F34" s="83">
        <v>3010</v>
      </c>
      <c r="G34" s="83">
        <v>3740</v>
      </c>
      <c r="H34" s="83">
        <v>3120</v>
      </c>
      <c r="I34" s="83">
        <v>3890</v>
      </c>
      <c r="J34" s="83">
        <v>3720</v>
      </c>
      <c r="K34" s="83">
        <v>4320</v>
      </c>
      <c r="L34" s="83">
        <v>3910</v>
      </c>
      <c r="M34" s="83">
        <v>4610</v>
      </c>
    </row>
    <row r="35" spans="1:13" ht="15.75" customHeight="1">
      <c r="A35" s="83">
        <v>600</v>
      </c>
      <c r="B35" s="83">
        <v>2930</v>
      </c>
      <c r="C35" s="83">
        <v>3660</v>
      </c>
      <c r="D35" s="83">
        <v>3040</v>
      </c>
      <c r="E35" s="83">
        <v>3810</v>
      </c>
      <c r="F35" s="83">
        <v>2930</v>
      </c>
      <c r="G35" s="83">
        <v>3660</v>
      </c>
      <c r="H35" s="83">
        <v>3040</v>
      </c>
      <c r="I35" s="83">
        <v>3810</v>
      </c>
      <c r="J35" s="83">
        <v>3640</v>
      </c>
      <c r="K35" s="83">
        <v>4340</v>
      </c>
      <c r="L35" s="83">
        <v>3820</v>
      </c>
      <c r="M35" s="83">
        <v>4520</v>
      </c>
    </row>
    <row r="36" spans="1:13" ht="15.75" customHeight="1">
      <c r="A36" s="83">
        <v>650</v>
      </c>
      <c r="B36" s="83">
        <v>2850</v>
      </c>
      <c r="C36" s="83">
        <v>3580</v>
      </c>
      <c r="D36" s="83">
        <v>2960</v>
      </c>
      <c r="E36" s="83">
        <v>3730</v>
      </c>
      <c r="F36" s="83">
        <v>2850</v>
      </c>
      <c r="G36" s="83">
        <v>3580</v>
      </c>
      <c r="H36" s="83">
        <v>2960</v>
      </c>
      <c r="I36" s="83">
        <v>3730</v>
      </c>
      <c r="J36" s="83">
        <v>3560</v>
      </c>
      <c r="K36" s="83">
        <v>4160</v>
      </c>
      <c r="L36" s="83">
        <v>3730</v>
      </c>
      <c r="M36" s="83">
        <v>4430</v>
      </c>
    </row>
    <row r="37" spans="1:13" ht="15.75" customHeight="1">
      <c r="A37" s="83">
        <v>700</v>
      </c>
      <c r="B37" s="83">
        <v>2770</v>
      </c>
      <c r="C37" s="83">
        <v>3500</v>
      </c>
      <c r="D37" s="83">
        <v>2880</v>
      </c>
      <c r="E37" s="83">
        <v>3650</v>
      </c>
      <c r="F37" s="83">
        <v>2770</v>
      </c>
      <c r="G37" s="83">
        <v>3500</v>
      </c>
      <c r="H37" s="83">
        <v>2880</v>
      </c>
      <c r="I37" s="83">
        <v>3650</v>
      </c>
      <c r="J37" s="83">
        <v>3480</v>
      </c>
      <c r="K37" s="83">
        <v>4080</v>
      </c>
      <c r="L37" s="83">
        <v>3640</v>
      </c>
      <c r="M37" s="83">
        <v>4340</v>
      </c>
    </row>
    <row r="38" spans="1:13" ht="15.75" customHeight="1">
      <c r="A38" s="83">
        <v>750</v>
      </c>
      <c r="B38" s="83">
        <v>2690</v>
      </c>
      <c r="C38" s="83">
        <v>3420</v>
      </c>
      <c r="D38" s="83">
        <v>2800</v>
      </c>
      <c r="E38" s="83">
        <v>3570</v>
      </c>
      <c r="F38" s="83">
        <v>2690</v>
      </c>
      <c r="G38" s="83">
        <v>3420</v>
      </c>
      <c r="H38" s="83">
        <v>2800</v>
      </c>
      <c r="I38" s="83">
        <v>3570</v>
      </c>
      <c r="J38" s="83">
        <v>3400</v>
      </c>
      <c r="K38" s="83">
        <v>4000</v>
      </c>
      <c r="L38" s="83">
        <v>3550</v>
      </c>
      <c r="M38" s="83">
        <v>4250</v>
      </c>
    </row>
    <row r="39" spans="1:13" ht="15.75" customHeight="1">
      <c r="A39" s="83">
        <v>800</v>
      </c>
      <c r="B39" s="83">
        <v>2610</v>
      </c>
      <c r="C39" s="83">
        <v>3340</v>
      </c>
      <c r="D39" s="83">
        <v>2720</v>
      </c>
      <c r="E39" s="83">
        <v>3490</v>
      </c>
      <c r="F39" s="83">
        <v>2610</v>
      </c>
      <c r="G39" s="83">
        <v>3340</v>
      </c>
      <c r="H39" s="83">
        <v>2720</v>
      </c>
      <c r="I39" s="83">
        <v>3490</v>
      </c>
      <c r="J39" s="83">
        <v>3320</v>
      </c>
      <c r="K39" s="83">
        <v>3920</v>
      </c>
      <c r="L39" s="83">
        <v>3460</v>
      </c>
      <c r="M39" s="83">
        <v>4160</v>
      </c>
    </row>
    <row r="40" spans="1:13" ht="15.75" customHeight="1">
      <c r="A40" s="83">
        <v>850</v>
      </c>
      <c r="B40" s="83">
        <v>2530</v>
      </c>
      <c r="C40" s="83">
        <v>3260</v>
      </c>
      <c r="D40" s="83">
        <v>2640</v>
      </c>
      <c r="E40" s="83">
        <v>3410</v>
      </c>
      <c r="F40" s="83">
        <v>2530</v>
      </c>
      <c r="G40" s="83">
        <v>3180</v>
      </c>
      <c r="H40" s="83">
        <v>2640</v>
      </c>
      <c r="I40" s="83">
        <v>3410</v>
      </c>
      <c r="J40" s="83">
        <v>3240</v>
      </c>
      <c r="K40" s="83">
        <v>3840</v>
      </c>
      <c r="L40" s="83">
        <v>3370</v>
      </c>
      <c r="M40" s="83">
        <v>4070</v>
      </c>
    </row>
    <row r="41" spans="1:13" ht="15.75" customHeight="1">
      <c r="A41" s="83">
        <v>900</v>
      </c>
      <c r="B41" s="83">
        <v>2450</v>
      </c>
      <c r="C41" s="83">
        <v>3180</v>
      </c>
      <c r="D41" s="83">
        <v>2560</v>
      </c>
      <c r="E41" s="83">
        <v>3330</v>
      </c>
      <c r="F41" s="83">
        <v>2450</v>
      </c>
      <c r="G41" s="83">
        <v>3100</v>
      </c>
      <c r="H41" s="83">
        <v>2560</v>
      </c>
      <c r="I41" s="83">
        <v>3330</v>
      </c>
      <c r="J41" s="83">
        <v>3160</v>
      </c>
      <c r="K41" s="83">
        <v>3760</v>
      </c>
      <c r="L41" s="83">
        <v>3280</v>
      </c>
      <c r="M41" s="83">
        <v>3980</v>
      </c>
    </row>
    <row r="42" spans="1:13" ht="15.75" customHeight="1">
      <c r="A42" s="83">
        <v>950</v>
      </c>
      <c r="B42" s="83">
        <v>2370</v>
      </c>
      <c r="C42" s="83">
        <v>3100</v>
      </c>
      <c r="D42" s="83">
        <v>2480</v>
      </c>
      <c r="E42" s="83">
        <v>3280</v>
      </c>
      <c r="F42" s="83">
        <v>2370</v>
      </c>
      <c r="G42" s="83">
        <v>3020</v>
      </c>
      <c r="H42" s="83">
        <v>2480</v>
      </c>
      <c r="I42" s="83">
        <v>3250</v>
      </c>
      <c r="J42" s="83">
        <v>3080</v>
      </c>
      <c r="K42" s="83">
        <v>3680</v>
      </c>
      <c r="L42" s="83">
        <v>3190</v>
      </c>
      <c r="M42" s="83">
        <v>3890</v>
      </c>
    </row>
    <row r="43" spans="1:13" ht="15.75" customHeight="1">
      <c r="A43" s="83">
        <v>1000</v>
      </c>
      <c r="B43" s="83">
        <v>2290</v>
      </c>
      <c r="C43" s="83">
        <v>3020</v>
      </c>
      <c r="D43" s="83">
        <v>2400</v>
      </c>
      <c r="E43" s="83">
        <v>3200</v>
      </c>
      <c r="F43" s="83">
        <v>2290</v>
      </c>
      <c r="G43" s="83">
        <v>3020</v>
      </c>
      <c r="H43" s="83">
        <v>2400</v>
      </c>
      <c r="I43" s="83">
        <v>3170</v>
      </c>
      <c r="J43" s="83">
        <v>3000</v>
      </c>
      <c r="K43" s="83">
        <v>3600</v>
      </c>
      <c r="L43" s="83">
        <v>3100</v>
      </c>
      <c r="M43" s="83">
        <v>3800</v>
      </c>
    </row>
    <row r="44" spans="1:13" ht="15.75" customHeight="1">
      <c r="A44" s="83">
        <v>1500</v>
      </c>
      <c r="B44" s="83">
        <v>2270</v>
      </c>
      <c r="C44" s="83">
        <v>2990</v>
      </c>
      <c r="D44" s="83">
        <v>2380</v>
      </c>
      <c r="E44" s="83">
        <v>3180</v>
      </c>
      <c r="F44" s="83">
        <v>2270</v>
      </c>
      <c r="G44" s="83">
        <v>2990</v>
      </c>
      <c r="H44" s="83">
        <v>2380</v>
      </c>
      <c r="I44" s="83">
        <v>3180</v>
      </c>
      <c r="J44" s="83">
        <v>2950</v>
      </c>
      <c r="K44" s="83">
        <v>3550</v>
      </c>
      <c r="L44" s="83">
        <v>3050</v>
      </c>
      <c r="M44" s="83">
        <v>3750</v>
      </c>
    </row>
    <row r="45" spans="1:13" ht="15.75" customHeight="1">
      <c r="A45" s="83">
        <v>2000</v>
      </c>
      <c r="B45" s="83">
        <v>2250</v>
      </c>
      <c r="C45" s="83">
        <v>2960</v>
      </c>
      <c r="D45" s="83">
        <v>2360</v>
      </c>
      <c r="E45" s="83">
        <v>3160</v>
      </c>
      <c r="F45" s="83">
        <v>2250</v>
      </c>
      <c r="G45" s="83">
        <v>2960</v>
      </c>
      <c r="H45" s="83">
        <v>2360</v>
      </c>
      <c r="I45" s="83">
        <v>3160</v>
      </c>
      <c r="J45" s="83">
        <v>2900</v>
      </c>
      <c r="K45" s="83">
        <v>3500</v>
      </c>
      <c r="L45" s="83">
        <v>3000</v>
      </c>
      <c r="M45" s="83">
        <v>3700</v>
      </c>
    </row>
    <row r="46" spans="1:13" ht="15.75" customHeight="1">
      <c r="A46" s="83">
        <v>2500</v>
      </c>
      <c r="B46" s="83">
        <v>2230</v>
      </c>
      <c r="C46" s="83">
        <v>2930</v>
      </c>
      <c r="D46" s="83">
        <v>2330</v>
      </c>
      <c r="E46" s="83">
        <v>3130</v>
      </c>
      <c r="F46" s="83">
        <v>2230</v>
      </c>
      <c r="G46" s="83">
        <v>2930</v>
      </c>
      <c r="H46" s="83">
        <v>2330</v>
      </c>
      <c r="I46" s="83">
        <v>3130</v>
      </c>
      <c r="J46" s="83">
        <v>2850</v>
      </c>
      <c r="K46" s="83">
        <v>3450</v>
      </c>
      <c r="L46" s="83">
        <v>2950</v>
      </c>
      <c r="M46" s="83">
        <v>3650</v>
      </c>
    </row>
    <row r="47" spans="1:13" ht="15.75" customHeight="1">
      <c r="A47" s="83">
        <v>3000</v>
      </c>
      <c r="B47" s="83">
        <v>2200</v>
      </c>
      <c r="C47" s="83">
        <v>2900</v>
      </c>
      <c r="D47" s="83">
        <v>2300</v>
      </c>
      <c r="E47" s="83">
        <v>3100</v>
      </c>
      <c r="F47" s="83">
        <v>2200</v>
      </c>
      <c r="G47" s="83">
        <v>2900</v>
      </c>
      <c r="H47" s="83">
        <v>2300</v>
      </c>
      <c r="I47" s="83">
        <v>3100</v>
      </c>
      <c r="J47" s="83">
        <v>2800</v>
      </c>
      <c r="K47" s="83">
        <v>3400</v>
      </c>
      <c r="L47" s="83">
        <v>2900</v>
      </c>
      <c r="M47" s="83">
        <v>3600</v>
      </c>
    </row>
    <row r="48" spans="1:13" ht="15.75" customHeight="1"/>
    <row r="49" spans="1:5" ht="15.75" customHeight="1">
      <c r="A49" s="6" t="s">
        <v>49</v>
      </c>
    </row>
    <row r="50" spans="1:5" ht="15.75" customHeight="1">
      <c r="A50" s="6" t="s">
        <v>282</v>
      </c>
      <c r="B50" s="195" t="s">
        <v>47</v>
      </c>
      <c r="C50" s="182"/>
      <c r="D50" s="195" t="s">
        <v>50</v>
      </c>
      <c r="E50" s="182"/>
    </row>
    <row r="51" spans="1:5" ht="15.75" customHeight="1">
      <c r="A51" s="6"/>
      <c r="B51" s="197"/>
      <c r="C51" s="182"/>
      <c r="D51" s="197"/>
      <c r="E51" s="182"/>
    </row>
    <row r="52" spans="1:5" ht="15.75" customHeight="1">
      <c r="A52" s="6" t="s">
        <v>288</v>
      </c>
      <c r="B52" s="6" t="s">
        <v>289</v>
      </c>
      <c r="C52" s="6" t="s">
        <v>290</v>
      </c>
      <c r="D52" s="6" t="s">
        <v>289</v>
      </c>
      <c r="E52" s="6" t="s">
        <v>290</v>
      </c>
    </row>
    <row r="53" spans="1:5" ht="15.75" customHeight="1">
      <c r="A53" s="6"/>
      <c r="B53" s="82"/>
      <c r="C53" s="82"/>
      <c r="D53" s="82"/>
      <c r="E53" s="82"/>
    </row>
    <row r="54" spans="1:5" ht="15.75" customHeight="1">
      <c r="A54" s="6"/>
      <c r="B54" s="6"/>
      <c r="C54" s="6"/>
      <c r="D54" s="6"/>
      <c r="E54" s="6"/>
    </row>
    <row r="55" spans="1:5" ht="15.75" customHeight="1">
      <c r="A55" s="86" t="s">
        <v>291</v>
      </c>
      <c r="B55" s="21">
        <v>3000</v>
      </c>
      <c r="C55" s="21">
        <v>3200</v>
      </c>
      <c r="D55" s="21">
        <v>3000</v>
      </c>
      <c r="E55" s="21">
        <v>3200</v>
      </c>
    </row>
    <row r="56" spans="1:5" ht="15.75" customHeight="1">
      <c r="A56" s="87">
        <v>12</v>
      </c>
      <c r="B56" s="24">
        <v>2300</v>
      </c>
      <c r="C56" s="24">
        <v>2500</v>
      </c>
      <c r="D56" s="24">
        <v>2300</v>
      </c>
      <c r="E56" s="24">
        <v>2500</v>
      </c>
    </row>
    <row r="57" spans="1:5" ht="15.75" customHeight="1">
      <c r="A57" s="86">
        <v>18</v>
      </c>
      <c r="B57" s="21">
        <v>2200</v>
      </c>
      <c r="C57" s="21">
        <v>2400</v>
      </c>
      <c r="D57" s="21">
        <v>2200</v>
      </c>
      <c r="E57" s="21">
        <v>2400</v>
      </c>
    </row>
    <row r="58" spans="1:5" ht="15.75" customHeight="1">
      <c r="A58" s="86">
        <v>24</v>
      </c>
      <c r="B58" s="21">
        <v>2100</v>
      </c>
      <c r="C58" s="21">
        <v>2300</v>
      </c>
      <c r="D58" s="21">
        <v>2100</v>
      </c>
      <c r="E58" s="21">
        <v>2300</v>
      </c>
    </row>
    <row r="59" spans="1:5" ht="15.75" customHeight="1">
      <c r="A59" s="86">
        <v>30</v>
      </c>
      <c r="B59" s="21">
        <v>2000</v>
      </c>
      <c r="C59" s="21">
        <v>2200</v>
      </c>
      <c r="D59" s="21">
        <v>2000</v>
      </c>
      <c r="E59" s="21">
        <v>2200</v>
      </c>
    </row>
    <row r="60" spans="1:5" ht="15.75" customHeight="1">
      <c r="A60" s="86">
        <v>36</v>
      </c>
      <c r="B60" s="21">
        <v>1900</v>
      </c>
      <c r="C60" s="21">
        <v>2100</v>
      </c>
      <c r="D60" s="21">
        <v>1900</v>
      </c>
      <c r="E60" s="21">
        <v>2100</v>
      </c>
    </row>
    <row r="61" spans="1:5" ht="15.75" customHeight="1">
      <c r="A61" s="86">
        <v>42</v>
      </c>
      <c r="B61" s="21">
        <v>1800</v>
      </c>
      <c r="C61" s="21">
        <v>2000</v>
      </c>
      <c r="D61" s="21">
        <v>1800</v>
      </c>
      <c r="E61" s="21">
        <v>2000</v>
      </c>
    </row>
    <row r="62" spans="1:5" ht="15.75" customHeight="1">
      <c r="A62" s="86">
        <v>48</v>
      </c>
      <c r="B62" s="21">
        <v>1700</v>
      </c>
      <c r="C62" s="21">
        <v>1900</v>
      </c>
      <c r="D62" s="21">
        <v>1700</v>
      </c>
      <c r="E62" s="21">
        <v>1900</v>
      </c>
    </row>
    <row r="63" spans="1:5" ht="15.75" customHeight="1">
      <c r="A63" s="86">
        <v>54</v>
      </c>
      <c r="B63" s="21">
        <v>1600</v>
      </c>
      <c r="C63" s="21">
        <v>1800</v>
      </c>
      <c r="D63" s="21">
        <v>1600</v>
      </c>
      <c r="E63" s="21">
        <v>1800</v>
      </c>
    </row>
    <row r="64" spans="1:5" ht="15.75" customHeight="1">
      <c r="A64" s="86">
        <v>60</v>
      </c>
      <c r="B64" s="21">
        <v>1500</v>
      </c>
      <c r="C64" s="21">
        <v>1700</v>
      </c>
      <c r="D64" s="21">
        <v>1500</v>
      </c>
      <c r="E64" s="21">
        <v>1700</v>
      </c>
    </row>
    <row r="65" spans="1:5" ht="15.75" customHeight="1">
      <c r="A65" s="86">
        <v>66</v>
      </c>
      <c r="B65" s="21">
        <v>1400</v>
      </c>
      <c r="C65" s="21">
        <v>1600</v>
      </c>
      <c r="D65" s="21">
        <v>1400</v>
      </c>
      <c r="E65" s="21">
        <v>1600</v>
      </c>
    </row>
    <row r="66" spans="1:5" ht="15.75" customHeight="1">
      <c r="A66" s="86">
        <v>84</v>
      </c>
      <c r="B66" s="21">
        <v>1350</v>
      </c>
      <c r="C66" s="21">
        <v>1550</v>
      </c>
      <c r="D66" s="21">
        <v>1350</v>
      </c>
      <c r="E66" s="21">
        <v>1550</v>
      </c>
    </row>
    <row r="67" spans="1:5" ht="15.75" customHeight="1">
      <c r="A67" s="86">
        <v>108</v>
      </c>
      <c r="B67" s="21">
        <v>1300</v>
      </c>
      <c r="C67" s="21">
        <v>1500</v>
      </c>
      <c r="D67" s="21">
        <v>1300</v>
      </c>
      <c r="E67" s="21">
        <v>1500</v>
      </c>
    </row>
    <row r="68" spans="1:5" ht="15.75" customHeight="1">
      <c r="A68" s="86">
        <v>120</v>
      </c>
      <c r="B68" s="21">
        <v>1250</v>
      </c>
      <c r="C68" s="21">
        <v>1450</v>
      </c>
      <c r="D68" s="21">
        <v>1250</v>
      </c>
      <c r="E68" s="21">
        <v>1450</v>
      </c>
    </row>
    <row r="69" spans="1:5" ht="15.75" customHeight="1">
      <c r="A69" s="86">
        <v>156</v>
      </c>
      <c r="B69" s="21">
        <v>1200</v>
      </c>
      <c r="C69" s="21">
        <v>1400</v>
      </c>
      <c r="D69" s="21">
        <v>1200</v>
      </c>
      <c r="E69" s="21">
        <v>1400</v>
      </c>
    </row>
    <row r="70" spans="1:5" ht="15.75" customHeight="1">
      <c r="A70" s="86">
        <v>180</v>
      </c>
      <c r="B70" s="21">
        <v>1150</v>
      </c>
      <c r="C70" s="21">
        <v>1350</v>
      </c>
      <c r="D70" s="21">
        <v>1150</v>
      </c>
      <c r="E70" s="21">
        <v>1350</v>
      </c>
    </row>
    <row r="71" spans="1:5" ht="15.75" customHeight="1">
      <c r="A71" s="86">
        <v>204</v>
      </c>
      <c r="B71" s="21">
        <v>1100</v>
      </c>
      <c r="C71" s="21">
        <v>1300</v>
      </c>
      <c r="D71" s="21">
        <v>1100</v>
      </c>
      <c r="E71" s="21">
        <v>1300</v>
      </c>
    </row>
    <row r="72" spans="1:5" ht="15.75" customHeight="1">
      <c r="A72" s="86">
        <v>240</v>
      </c>
      <c r="B72" s="21">
        <v>1100</v>
      </c>
      <c r="C72" s="21">
        <v>1300</v>
      </c>
      <c r="D72" s="21">
        <v>1100</v>
      </c>
      <c r="E72" s="21">
        <v>1300</v>
      </c>
    </row>
    <row r="73" spans="1:5" ht="15.75" customHeight="1">
      <c r="A73" s="86">
        <v>264</v>
      </c>
      <c r="B73" s="21">
        <v>1100</v>
      </c>
      <c r="C73" s="21">
        <v>1300</v>
      </c>
      <c r="D73" s="21">
        <v>1100</v>
      </c>
      <c r="E73" s="21">
        <v>1300</v>
      </c>
    </row>
    <row r="74" spans="1:5" ht="15.75" customHeight="1">
      <c r="A74" s="86">
        <v>300</v>
      </c>
      <c r="B74" s="21">
        <v>1050</v>
      </c>
      <c r="C74" s="21">
        <v>1250</v>
      </c>
      <c r="D74" s="21">
        <v>1050</v>
      </c>
      <c r="E74" s="21">
        <v>1250</v>
      </c>
    </row>
    <row r="75" spans="1:5" ht="15.75" customHeight="1">
      <c r="A75" s="86">
        <v>324</v>
      </c>
      <c r="B75" s="21">
        <v>1000</v>
      </c>
      <c r="C75" s="21">
        <v>1200</v>
      </c>
      <c r="D75" s="21">
        <v>1000</v>
      </c>
      <c r="E75" s="21">
        <v>1200</v>
      </c>
    </row>
    <row r="76" spans="1:5" ht="15.75" customHeight="1">
      <c r="A76" s="86">
        <v>360</v>
      </c>
      <c r="B76" s="21">
        <v>1000</v>
      </c>
      <c r="C76" s="21">
        <v>1200</v>
      </c>
      <c r="D76" s="21">
        <v>1000</v>
      </c>
      <c r="E76" s="21">
        <v>1200</v>
      </c>
    </row>
    <row r="77" spans="1:5" ht="15.75" customHeight="1">
      <c r="A77" s="86">
        <v>396</v>
      </c>
      <c r="B77" s="21">
        <v>1000</v>
      </c>
      <c r="C77" s="21">
        <v>1200</v>
      </c>
      <c r="D77" s="21">
        <v>1000</v>
      </c>
      <c r="E77" s="21">
        <v>1200</v>
      </c>
    </row>
    <row r="78" spans="1:5" ht="15.75" customHeight="1">
      <c r="A78" s="86">
        <v>420</v>
      </c>
      <c r="B78" s="21">
        <v>950</v>
      </c>
      <c r="C78" s="21">
        <v>1150</v>
      </c>
      <c r="D78" s="21">
        <v>950</v>
      </c>
      <c r="E78" s="21">
        <v>1150</v>
      </c>
    </row>
    <row r="79" spans="1:5" ht="15.75" customHeight="1">
      <c r="A79" s="86">
        <v>456</v>
      </c>
      <c r="B79" s="21">
        <v>950</v>
      </c>
      <c r="C79" s="21">
        <v>1150</v>
      </c>
      <c r="D79" s="21">
        <v>950</v>
      </c>
      <c r="E79" s="21">
        <v>1150</v>
      </c>
    </row>
    <row r="80" spans="1:5" ht="15.75" customHeight="1">
      <c r="A80" s="86">
        <v>504</v>
      </c>
      <c r="B80" s="21">
        <v>900</v>
      </c>
      <c r="C80" s="21">
        <v>1100</v>
      </c>
      <c r="D80" s="21">
        <v>900</v>
      </c>
      <c r="E80" s="21">
        <v>1100</v>
      </c>
    </row>
    <row r="81" spans="1:5" ht="15.75" customHeight="1">
      <c r="A81" s="86">
        <v>540</v>
      </c>
      <c r="B81" s="21">
        <v>900</v>
      </c>
      <c r="C81" s="21">
        <v>1100</v>
      </c>
      <c r="D81" s="21">
        <v>900</v>
      </c>
      <c r="E81" s="21">
        <v>1100</v>
      </c>
    </row>
    <row r="82" spans="1:5" ht="15.75" customHeight="1">
      <c r="A82" s="86">
        <v>600</v>
      </c>
      <c r="B82" s="21">
        <v>850</v>
      </c>
      <c r="C82" s="21">
        <v>1050</v>
      </c>
      <c r="D82" s="21">
        <v>850</v>
      </c>
      <c r="E82" s="21">
        <v>1050</v>
      </c>
    </row>
    <row r="83" spans="1:5" ht="15.75" customHeight="1">
      <c r="A83" s="6"/>
    </row>
    <row r="84" spans="1:5" ht="15.75" customHeight="1">
      <c r="A84" s="6"/>
    </row>
    <row r="85" spans="1:5" ht="15.75" customHeight="1">
      <c r="A85" s="6"/>
    </row>
    <row r="86" spans="1:5" ht="15.75" customHeight="1">
      <c r="A86" s="6"/>
    </row>
    <row r="87" spans="1:5" ht="15.75" customHeight="1">
      <c r="A87" s="6"/>
    </row>
    <row r="88" spans="1:5" ht="15.75" customHeight="1">
      <c r="A88" s="6"/>
    </row>
    <row r="89" spans="1:5" ht="15.75" customHeight="1">
      <c r="A89" s="6"/>
    </row>
    <row r="90" spans="1:5" ht="15.75" customHeight="1">
      <c r="A90" s="6"/>
    </row>
    <row r="91" spans="1:5" ht="15.75" customHeight="1">
      <c r="A91" s="6"/>
    </row>
    <row r="92" spans="1:5" ht="15.75" customHeight="1">
      <c r="A92" s="6"/>
    </row>
    <row r="93" spans="1:5" ht="15.75" customHeight="1">
      <c r="A93" s="6"/>
    </row>
    <row r="94" spans="1:5" ht="15.75" customHeight="1">
      <c r="A94" s="6"/>
    </row>
    <row r="95" spans="1:5" ht="15.75" customHeight="1">
      <c r="A95" s="6"/>
    </row>
    <row r="96" spans="1:5" ht="15.75" customHeight="1">
      <c r="A96" s="6"/>
    </row>
    <row r="97" spans="1:1" ht="15.75" customHeight="1">
      <c r="A97" s="6"/>
    </row>
    <row r="98" spans="1:1" ht="15.75" customHeight="1">
      <c r="A98" s="6"/>
    </row>
    <row r="99" spans="1:1" ht="15.75" customHeight="1">
      <c r="A99" s="6"/>
    </row>
    <row r="100" spans="1:1" ht="15.75" customHeight="1">
      <c r="A100" s="6"/>
    </row>
    <row r="101" spans="1:1" ht="15.75" customHeight="1">
      <c r="A101" s="6"/>
    </row>
    <row r="102" spans="1:1" ht="15.75" customHeight="1">
      <c r="A102" s="6"/>
    </row>
    <row r="103" spans="1:1" ht="15.75" customHeight="1">
      <c r="A103" s="6"/>
    </row>
    <row r="104" spans="1:1" ht="15.75" customHeight="1">
      <c r="A104" s="6"/>
    </row>
    <row r="105" spans="1:1" ht="15.75" customHeight="1">
      <c r="A105" s="6"/>
    </row>
    <row r="106" spans="1:1" ht="15.75" customHeight="1">
      <c r="A106" s="6"/>
    </row>
    <row r="107" spans="1:1" ht="15.75" customHeight="1">
      <c r="A107" s="6"/>
    </row>
    <row r="108" spans="1:1" ht="15.75" customHeight="1">
      <c r="A108" s="6"/>
    </row>
    <row r="109" spans="1:1" ht="15.75" customHeight="1">
      <c r="A109" s="6"/>
    </row>
    <row r="110" spans="1:1" ht="15.75" customHeight="1">
      <c r="A110" s="6"/>
    </row>
    <row r="111" spans="1:1" ht="15.75" customHeight="1">
      <c r="A111" s="6"/>
    </row>
    <row r="112" spans="1:1" ht="15.75" customHeight="1">
      <c r="A112" s="6"/>
    </row>
    <row r="113" spans="1:1" ht="15.75" customHeight="1">
      <c r="A113" s="6"/>
    </row>
    <row r="114" spans="1:1" ht="15.75" customHeight="1">
      <c r="A114" s="6"/>
    </row>
    <row r="115" spans="1:1" ht="15.75" customHeight="1">
      <c r="A115" s="6"/>
    </row>
    <row r="116" spans="1:1" ht="15.75" customHeight="1">
      <c r="A116" s="6"/>
    </row>
    <row r="117" spans="1:1" ht="15.75" customHeight="1">
      <c r="A117" s="6"/>
    </row>
    <row r="118" spans="1:1" ht="15.75" customHeight="1">
      <c r="A118" s="6"/>
    </row>
    <row r="119" spans="1:1" ht="15.75" customHeight="1">
      <c r="A119" s="6"/>
    </row>
    <row r="120" spans="1:1" ht="15.75" customHeight="1">
      <c r="A120" s="6"/>
    </row>
    <row r="121" spans="1:1" ht="15.75" customHeight="1">
      <c r="A121" s="6"/>
    </row>
    <row r="122" spans="1:1" ht="15.75" customHeight="1">
      <c r="A122" s="6"/>
    </row>
    <row r="123" spans="1:1" ht="15.75" customHeight="1">
      <c r="A123" s="6"/>
    </row>
    <row r="124" spans="1:1" ht="15.75" customHeight="1">
      <c r="A124" s="6"/>
    </row>
    <row r="125" spans="1:1" ht="15.75" customHeight="1">
      <c r="A125" s="6"/>
    </row>
    <row r="126" spans="1:1" ht="15.75" customHeight="1">
      <c r="A126" s="6"/>
    </row>
    <row r="127" spans="1:1" ht="15.75" customHeight="1">
      <c r="A127" s="6"/>
    </row>
    <row r="128" spans="1:1" ht="15.75" customHeight="1">
      <c r="A128" s="6"/>
    </row>
    <row r="129" spans="1:1" ht="15.75" customHeight="1">
      <c r="A129" s="6"/>
    </row>
    <row r="130" spans="1:1" ht="15.75" customHeight="1">
      <c r="A130" s="6"/>
    </row>
    <row r="131" spans="1:1" ht="15.75" customHeight="1">
      <c r="A131" s="6"/>
    </row>
    <row r="132" spans="1:1" ht="15.75" customHeight="1">
      <c r="A132" s="6"/>
    </row>
    <row r="133" spans="1:1" ht="15.75" customHeight="1">
      <c r="A133" s="6"/>
    </row>
    <row r="134" spans="1:1" ht="15.75" customHeight="1">
      <c r="A134" s="6"/>
    </row>
    <row r="135" spans="1:1" ht="15.75" customHeight="1">
      <c r="A135" s="6"/>
    </row>
    <row r="136" spans="1:1" ht="15.75" customHeight="1">
      <c r="A136" s="6"/>
    </row>
    <row r="137" spans="1:1" ht="15.75" customHeight="1">
      <c r="A137" s="6"/>
    </row>
    <row r="138" spans="1:1" ht="15.75" customHeight="1">
      <c r="A138" s="6"/>
    </row>
    <row r="139" spans="1:1" ht="15.75" customHeight="1">
      <c r="A139" s="6"/>
    </row>
    <row r="140" spans="1:1" ht="15.75" customHeight="1">
      <c r="A140" s="6"/>
    </row>
    <row r="141" spans="1:1" ht="15.75" customHeight="1">
      <c r="A141" s="6"/>
    </row>
    <row r="142" spans="1:1" ht="15.75" customHeight="1">
      <c r="A142" s="6"/>
    </row>
    <row r="143" spans="1:1" ht="15.75" customHeight="1">
      <c r="A143" s="6"/>
    </row>
    <row r="144" spans="1:1" ht="15.75" customHeight="1">
      <c r="A144" s="6"/>
    </row>
    <row r="145" spans="1:1" ht="15.75" customHeight="1">
      <c r="A145" s="6"/>
    </row>
    <row r="146" spans="1:1" ht="15.75" customHeight="1">
      <c r="A146" s="6"/>
    </row>
    <row r="147" spans="1:1" ht="15.75" customHeight="1">
      <c r="A147" s="6"/>
    </row>
    <row r="148" spans="1:1" ht="15.75" customHeight="1">
      <c r="A148" s="6"/>
    </row>
    <row r="149" spans="1:1" ht="15.75" customHeight="1">
      <c r="A149" s="6"/>
    </row>
    <row r="150" spans="1:1" ht="15.75" customHeight="1">
      <c r="A150" s="6"/>
    </row>
    <row r="151" spans="1:1" ht="15.75" customHeight="1">
      <c r="A151" s="6"/>
    </row>
    <row r="152" spans="1:1" ht="15.75" customHeight="1">
      <c r="A152" s="6"/>
    </row>
    <row r="153" spans="1:1" ht="15.75" customHeight="1">
      <c r="A153" s="6"/>
    </row>
    <row r="154" spans="1:1" ht="15.75" customHeight="1">
      <c r="A154" s="6"/>
    </row>
    <row r="155" spans="1:1" ht="15.75" customHeight="1">
      <c r="A155" s="6"/>
    </row>
    <row r="156" spans="1:1" ht="15.75" customHeight="1">
      <c r="A156" s="6"/>
    </row>
    <row r="157" spans="1:1" ht="15.75" customHeight="1">
      <c r="A157" s="6"/>
    </row>
    <row r="158" spans="1:1" ht="15.75" customHeight="1">
      <c r="A158" s="6"/>
    </row>
    <row r="159" spans="1:1" ht="15.75" customHeight="1">
      <c r="A159" s="6"/>
    </row>
    <row r="160" spans="1:1" ht="15.75" customHeight="1">
      <c r="A160" s="6"/>
    </row>
    <row r="161" spans="1:1" ht="15.75" customHeight="1">
      <c r="A161" s="6"/>
    </row>
    <row r="162" spans="1:1" ht="15.75" customHeight="1">
      <c r="A162" s="6"/>
    </row>
    <row r="163" spans="1:1" ht="15.75" customHeight="1">
      <c r="A163" s="6"/>
    </row>
    <row r="164" spans="1:1" ht="15.75" customHeight="1">
      <c r="A164" s="6"/>
    </row>
    <row r="165" spans="1:1" ht="15.75" customHeight="1">
      <c r="A165" s="6"/>
    </row>
    <row r="166" spans="1:1" ht="15.75" customHeight="1">
      <c r="A166" s="6"/>
    </row>
    <row r="167" spans="1:1" ht="15.75" customHeight="1">
      <c r="A167" s="6"/>
    </row>
    <row r="168" spans="1:1" ht="15.75" customHeight="1">
      <c r="A168" s="6"/>
    </row>
    <row r="169" spans="1:1" ht="15.75" customHeight="1">
      <c r="A169" s="6"/>
    </row>
    <row r="170" spans="1:1" ht="15.75" customHeight="1">
      <c r="A170" s="6"/>
    </row>
    <row r="171" spans="1:1" ht="15.75" customHeight="1">
      <c r="A171" s="6"/>
    </row>
    <row r="172" spans="1:1" ht="15.75" customHeight="1">
      <c r="A172" s="6"/>
    </row>
    <row r="173" spans="1:1" ht="15.75" customHeight="1">
      <c r="A173" s="6"/>
    </row>
    <row r="174" spans="1:1" ht="15.75" customHeight="1">
      <c r="A174" s="6"/>
    </row>
    <row r="175" spans="1:1" ht="15.75" customHeight="1">
      <c r="A175" s="6"/>
    </row>
    <row r="176" spans="1:1" ht="15.75" customHeight="1">
      <c r="A176" s="6"/>
    </row>
    <row r="177" spans="1:1" ht="15.75" customHeight="1">
      <c r="A177" s="6"/>
    </row>
    <row r="178" spans="1:1" ht="15.75" customHeight="1">
      <c r="A178" s="6"/>
    </row>
    <row r="179" spans="1:1" ht="15.75" customHeight="1">
      <c r="A179" s="6"/>
    </row>
    <row r="180" spans="1:1" ht="15.75" customHeight="1">
      <c r="A180" s="6"/>
    </row>
    <row r="181" spans="1:1" ht="15.75" customHeight="1">
      <c r="A181" s="6"/>
    </row>
    <row r="182" spans="1:1" ht="15.75" customHeight="1">
      <c r="A182" s="6"/>
    </row>
    <row r="183" spans="1:1" ht="15.75" customHeight="1">
      <c r="A183" s="6"/>
    </row>
    <row r="184" spans="1:1" ht="15.75" customHeight="1">
      <c r="A184" s="6"/>
    </row>
    <row r="185" spans="1:1" ht="15.75" customHeight="1">
      <c r="A185" s="6"/>
    </row>
    <row r="186" spans="1:1" ht="15.75" customHeight="1">
      <c r="A186" s="6"/>
    </row>
    <row r="187" spans="1:1" ht="15.75" customHeight="1">
      <c r="A187" s="6"/>
    </row>
    <row r="188" spans="1:1" ht="15.75" customHeight="1">
      <c r="A188" s="6"/>
    </row>
    <row r="189" spans="1:1" ht="15.75" customHeight="1">
      <c r="A189" s="6"/>
    </row>
    <row r="190" spans="1:1" ht="15.75" customHeight="1">
      <c r="A190" s="6"/>
    </row>
    <row r="191" spans="1:1" ht="15.75" customHeight="1">
      <c r="A191" s="6"/>
    </row>
    <row r="192" spans="1:1" ht="15.75" customHeight="1">
      <c r="A192" s="6"/>
    </row>
    <row r="193" spans="1:1" ht="15.75" customHeight="1">
      <c r="A193" s="6"/>
    </row>
    <row r="194" spans="1:1" ht="15.75" customHeight="1">
      <c r="A194" s="6"/>
    </row>
    <row r="195" spans="1:1" ht="15.75" customHeight="1">
      <c r="A195" s="6"/>
    </row>
    <row r="196" spans="1:1" ht="15.75" customHeight="1">
      <c r="A196" s="6"/>
    </row>
    <row r="197" spans="1:1" ht="15.75" customHeight="1">
      <c r="A197" s="6"/>
    </row>
    <row r="198" spans="1:1" ht="15.75" customHeight="1">
      <c r="A198" s="6"/>
    </row>
    <row r="199" spans="1:1" ht="15.75" customHeight="1">
      <c r="A199" s="6"/>
    </row>
    <row r="200" spans="1:1" ht="15.75" customHeight="1">
      <c r="A200" s="6"/>
    </row>
    <row r="201" spans="1:1" ht="15.75" customHeight="1">
      <c r="A201" s="6"/>
    </row>
    <row r="202" spans="1:1" ht="15.75" customHeight="1">
      <c r="A202" s="6"/>
    </row>
    <row r="203" spans="1:1" ht="15.75" customHeight="1">
      <c r="A203" s="6"/>
    </row>
    <row r="204" spans="1:1" ht="15.75" customHeight="1">
      <c r="A204" s="6"/>
    </row>
    <row r="205" spans="1:1" ht="15.75" customHeight="1">
      <c r="A205" s="6"/>
    </row>
    <row r="206" spans="1:1" ht="15.75" customHeight="1">
      <c r="A206" s="6"/>
    </row>
    <row r="207" spans="1:1" ht="15.75" customHeight="1">
      <c r="A207" s="6"/>
    </row>
    <row r="208" spans="1:1" ht="15.75" customHeight="1">
      <c r="A208" s="6"/>
    </row>
    <row r="209" spans="1:1" ht="15.75" customHeight="1">
      <c r="A209" s="6"/>
    </row>
    <row r="210" spans="1:1" ht="15.75" customHeight="1">
      <c r="A210" s="6"/>
    </row>
    <row r="211" spans="1:1" ht="15.75" customHeight="1">
      <c r="A211" s="6"/>
    </row>
    <row r="212" spans="1:1" ht="15.75" customHeight="1">
      <c r="A212" s="6"/>
    </row>
    <row r="213" spans="1:1" ht="15.75" customHeight="1">
      <c r="A213" s="6"/>
    </row>
    <row r="214" spans="1:1" ht="15.75" customHeight="1">
      <c r="A214" s="6"/>
    </row>
    <row r="215" spans="1:1" ht="15.75" customHeight="1">
      <c r="A215" s="6"/>
    </row>
    <row r="216" spans="1:1" ht="15.75" customHeight="1">
      <c r="A216" s="6"/>
    </row>
    <row r="217" spans="1:1" ht="15.75" customHeight="1">
      <c r="A217" s="6"/>
    </row>
    <row r="218" spans="1:1" ht="15.75" customHeight="1">
      <c r="A218" s="6"/>
    </row>
    <row r="219" spans="1:1" ht="15.75" customHeight="1">
      <c r="A219" s="6"/>
    </row>
    <row r="220" spans="1:1" ht="15.75" customHeight="1">
      <c r="A220" s="6"/>
    </row>
    <row r="221" spans="1:1" ht="15.75" customHeight="1">
      <c r="A221" s="6"/>
    </row>
    <row r="222" spans="1:1" ht="15.75" customHeight="1">
      <c r="A222" s="6"/>
    </row>
    <row r="223" spans="1:1" ht="15.75" customHeight="1">
      <c r="A223" s="6"/>
    </row>
    <row r="224" spans="1:1" ht="15.75" customHeight="1">
      <c r="A224" s="6"/>
    </row>
    <row r="225" spans="1:1" ht="15.75" customHeight="1">
      <c r="A225" s="6"/>
    </row>
    <row r="226" spans="1:1" ht="15.75" customHeight="1">
      <c r="A226" s="6"/>
    </row>
    <row r="227" spans="1:1" ht="15.75" customHeight="1">
      <c r="A227" s="6"/>
    </row>
    <row r="228" spans="1:1" ht="15.75" customHeight="1">
      <c r="A228" s="6"/>
    </row>
    <row r="229" spans="1:1" ht="15.75" customHeight="1">
      <c r="A229" s="6"/>
    </row>
    <row r="230" spans="1:1" ht="15.75" customHeight="1">
      <c r="A230" s="6"/>
    </row>
    <row r="231" spans="1:1" ht="15.75" customHeight="1">
      <c r="A231" s="6"/>
    </row>
    <row r="232" spans="1:1" ht="15.75" customHeight="1">
      <c r="A232" s="6"/>
    </row>
    <row r="233" spans="1:1" ht="15.75" customHeight="1">
      <c r="A233" s="6"/>
    </row>
    <row r="234" spans="1:1" ht="15.75" customHeight="1">
      <c r="A234" s="6"/>
    </row>
    <row r="235" spans="1:1" ht="15.75" customHeight="1">
      <c r="A235" s="6"/>
    </row>
    <row r="236" spans="1:1" ht="15.75" customHeight="1">
      <c r="A236" s="6"/>
    </row>
    <row r="237" spans="1:1" ht="15.75" customHeight="1">
      <c r="A237" s="6"/>
    </row>
    <row r="238" spans="1:1" ht="15.75" customHeight="1">
      <c r="A238" s="6"/>
    </row>
    <row r="239" spans="1:1" ht="15.75" customHeight="1">
      <c r="A239" s="6"/>
    </row>
    <row r="240" spans="1:1" ht="15.75" customHeight="1">
      <c r="A240" s="6"/>
    </row>
    <row r="241" spans="1:1" ht="15.75" customHeight="1">
      <c r="A241" s="6"/>
    </row>
    <row r="242" spans="1:1" ht="15.75" customHeight="1">
      <c r="A242" s="6"/>
    </row>
    <row r="243" spans="1:1" ht="15.75" customHeight="1">
      <c r="A243" s="6"/>
    </row>
    <row r="244" spans="1:1" ht="15.75" customHeight="1">
      <c r="A244" s="6"/>
    </row>
    <row r="245" spans="1:1" ht="15.75" customHeight="1">
      <c r="A245" s="6"/>
    </row>
    <row r="246" spans="1:1" ht="15.75" customHeight="1">
      <c r="A246" s="6"/>
    </row>
    <row r="247" spans="1:1" ht="15.75" customHeight="1">
      <c r="A247" s="6"/>
    </row>
    <row r="248" spans="1:1" ht="15.75" customHeight="1">
      <c r="A248" s="6"/>
    </row>
    <row r="249" spans="1:1" ht="15.75" customHeight="1">
      <c r="A249" s="6"/>
    </row>
    <row r="250" spans="1:1" ht="15.75" customHeight="1">
      <c r="A250" s="6"/>
    </row>
    <row r="251" spans="1:1" ht="15.75" customHeight="1">
      <c r="A251" s="6"/>
    </row>
    <row r="252" spans="1:1" ht="15.75" customHeight="1">
      <c r="A252" s="6"/>
    </row>
    <row r="253" spans="1:1" ht="15.75" customHeight="1">
      <c r="A253" s="6"/>
    </row>
    <row r="254" spans="1:1" ht="15.75" customHeight="1">
      <c r="A254" s="6"/>
    </row>
    <row r="255" spans="1:1" ht="15.75" customHeight="1">
      <c r="A255" s="6"/>
    </row>
    <row r="256" spans="1:1" ht="15.75" customHeight="1">
      <c r="A256" s="6"/>
    </row>
    <row r="257" spans="1:1" ht="15.75" customHeight="1">
      <c r="A257" s="6"/>
    </row>
    <row r="258" spans="1:1" ht="15.75" customHeight="1">
      <c r="A258" s="6"/>
    </row>
    <row r="259" spans="1:1" ht="15.75" customHeight="1">
      <c r="A259" s="6"/>
    </row>
    <row r="260" spans="1:1" ht="15.75" customHeight="1">
      <c r="A260" s="6"/>
    </row>
    <row r="261" spans="1:1" ht="15.75" customHeight="1">
      <c r="A261" s="6"/>
    </row>
    <row r="262" spans="1:1" ht="15.75" customHeight="1">
      <c r="A262" s="6"/>
    </row>
    <row r="263" spans="1:1" ht="15.75" customHeight="1">
      <c r="A263" s="6"/>
    </row>
    <row r="264" spans="1:1" ht="15.75" customHeight="1">
      <c r="A264" s="6"/>
    </row>
    <row r="265" spans="1:1" ht="15.75" customHeight="1">
      <c r="A265" s="6"/>
    </row>
    <row r="266" spans="1:1" ht="15.75" customHeight="1">
      <c r="A266" s="6"/>
    </row>
    <row r="267" spans="1:1" ht="15.75" customHeight="1">
      <c r="A267" s="6"/>
    </row>
    <row r="268" spans="1:1" ht="15.75" customHeight="1">
      <c r="A268" s="6"/>
    </row>
    <row r="269" spans="1:1" ht="15.75" customHeight="1">
      <c r="A269" s="6"/>
    </row>
    <row r="270" spans="1:1" ht="15.75" customHeight="1">
      <c r="A270" s="6"/>
    </row>
    <row r="271" spans="1:1" ht="15.75" customHeight="1">
      <c r="A271" s="6"/>
    </row>
    <row r="272" spans="1:1" ht="15.75" customHeight="1">
      <c r="A272" s="6"/>
    </row>
    <row r="273" spans="1:1" ht="15.75" customHeight="1">
      <c r="A273" s="6"/>
    </row>
    <row r="274" spans="1:1" ht="15.75" customHeight="1">
      <c r="A274" s="6"/>
    </row>
    <row r="275" spans="1:1" ht="15.75" customHeight="1">
      <c r="A275" s="6"/>
    </row>
    <row r="276" spans="1:1" ht="15.75" customHeight="1">
      <c r="A276" s="6"/>
    </row>
    <row r="277" spans="1:1" ht="15.75" customHeight="1">
      <c r="A277" s="6"/>
    </row>
    <row r="278" spans="1:1" ht="15.75" customHeight="1">
      <c r="A278" s="6"/>
    </row>
    <row r="279" spans="1:1" ht="15.75" customHeight="1">
      <c r="A279" s="6"/>
    </row>
    <row r="280" spans="1:1" ht="15.75" customHeight="1">
      <c r="A280" s="6"/>
    </row>
    <row r="281" spans="1:1" ht="15.75" customHeight="1">
      <c r="A281" s="6"/>
    </row>
    <row r="282" spans="1:1" ht="15.75" customHeight="1">
      <c r="A282" s="6"/>
    </row>
    <row r="283" spans="1:1" ht="15.75" customHeight="1"/>
    <row r="284" spans="1:1" ht="15.75" customHeight="1"/>
    <row r="285" spans="1:1" ht="15.75" customHeight="1"/>
    <row r="286" spans="1:1" ht="15.75" customHeight="1"/>
    <row r="287" spans="1:1" ht="15.75" customHeight="1"/>
    <row r="288" spans="1:1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B4:C4"/>
    <mergeCell ref="L4:M4"/>
    <mergeCell ref="B51:C51"/>
    <mergeCell ref="D51:E51"/>
    <mergeCell ref="D4:E4"/>
    <mergeCell ref="F4:G4"/>
    <mergeCell ref="B5:C5"/>
    <mergeCell ref="D5:E5"/>
    <mergeCell ref="F5:G5"/>
    <mergeCell ref="B50:C50"/>
    <mergeCell ref="D50:E50"/>
    <mergeCell ref="B2:E2"/>
    <mergeCell ref="F2:I2"/>
    <mergeCell ref="J2:M2"/>
    <mergeCell ref="B3:E3"/>
    <mergeCell ref="F3:I3"/>
    <mergeCell ref="J3:M3"/>
    <mergeCell ref="H4:I4"/>
    <mergeCell ref="J4:K4"/>
    <mergeCell ref="H5:I5"/>
    <mergeCell ref="J5:K5"/>
    <mergeCell ref="L5:M5"/>
  </mergeCells>
  <phoneticPr fontId="37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Y1000"/>
  <sheetViews>
    <sheetView workbookViewId="0"/>
  </sheetViews>
  <sheetFormatPr defaultColWidth="12.5703125" defaultRowHeight="15" customHeight="1" outlineLevelRow="1"/>
  <cols>
    <col min="1" max="1" width="9.140625" customWidth="1"/>
    <col min="2" max="2" width="14.42578125" customWidth="1"/>
    <col min="3" max="5" width="16.42578125" customWidth="1"/>
    <col min="6" max="6" width="12.5703125" customWidth="1"/>
  </cols>
  <sheetData>
    <row r="1" spans="1:25" ht="15.75" customHeight="1">
      <c r="A1" s="88" t="s">
        <v>292</v>
      </c>
      <c r="B1" s="88" t="s">
        <v>293</v>
      </c>
      <c r="C1" s="88" t="s">
        <v>294</v>
      </c>
      <c r="D1" s="88" t="s">
        <v>295</v>
      </c>
      <c r="E1" s="88" t="s">
        <v>296</v>
      </c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  <c r="Y1" s="89"/>
    </row>
    <row r="2" spans="1:25" ht="15.75" customHeight="1" outlineLevel="1">
      <c r="A2" s="90"/>
      <c r="B2" s="90"/>
      <c r="C2" s="90"/>
      <c r="D2" s="90"/>
      <c r="E2" s="90"/>
      <c r="F2" s="89"/>
      <c r="G2" s="89"/>
      <c r="H2" s="89"/>
      <c r="I2" s="89"/>
      <c r="J2" s="89"/>
      <c r="K2" s="89"/>
      <c r="L2" s="89"/>
      <c r="M2" s="89"/>
      <c r="N2" s="89"/>
      <c r="O2" s="89"/>
      <c r="P2" s="89"/>
      <c r="Q2" s="89"/>
      <c r="R2" s="89"/>
      <c r="S2" s="89"/>
      <c r="T2" s="89"/>
      <c r="U2" s="89"/>
      <c r="V2" s="89"/>
      <c r="W2" s="89"/>
      <c r="X2" s="89"/>
      <c r="Y2" s="89"/>
    </row>
    <row r="3" spans="1:25" ht="15.75" customHeight="1" outlineLevel="1">
      <c r="A3" s="89">
        <v>1</v>
      </c>
      <c r="B3" s="89">
        <v>3000</v>
      </c>
      <c r="C3" s="89">
        <v>3000</v>
      </c>
      <c r="D3" s="89">
        <v>4000</v>
      </c>
      <c r="E3" s="89">
        <v>5000</v>
      </c>
      <c r="F3" s="89"/>
      <c r="G3" s="89"/>
      <c r="H3" s="89"/>
      <c r="I3" s="89"/>
      <c r="J3" s="89"/>
      <c r="K3" s="89"/>
      <c r="L3" s="89"/>
      <c r="M3" s="89"/>
      <c r="N3" s="89"/>
      <c r="O3" s="89"/>
      <c r="P3" s="89"/>
      <c r="Q3" s="89"/>
      <c r="R3" s="89"/>
      <c r="S3" s="89"/>
      <c r="T3" s="89"/>
      <c r="U3" s="89"/>
      <c r="V3" s="89"/>
      <c r="W3" s="89"/>
      <c r="X3" s="89"/>
      <c r="Y3" s="89"/>
    </row>
    <row r="4" spans="1:25" ht="15.75" customHeight="1" outlineLevel="1">
      <c r="A4" s="89">
        <v>4</v>
      </c>
      <c r="B4" s="89">
        <v>2000</v>
      </c>
      <c r="C4" s="89">
        <v>2000</v>
      </c>
      <c r="D4" s="89">
        <v>3000</v>
      </c>
      <c r="E4" s="89">
        <v>5000</v>
      </c>
      <c r="F4" s="89"/>
      <c r="G4" s="89"/>
      <c r="H4" s="89"/>
      <c r="I4" s="89"/>
      <c r="J4" s="89"/>
      <c r="K4" s="89"/>
      <c r="L4" s="89"/>
      <c r="M4" s="89"/>
      <c r="N4" s="89"/>
      <c r="O4" s="89"/>
      <c r="P4" s="89"/>
      <c r="Q4" s="89"/>
      <c r="R4" s="89"/>
      <c r="S4" s="89"/>
      <c r="T4" s="89"/>
      <c r="U4" s="89"/>
      <c r="V4" s="89"/>
      <c r="W4" s="89"/>
      <c r="X4" s="89"/>
      <c r="Y4" s="89"/>
    </row>
    <row r="5" spans="1:25" ht="15.75" customHeight="1" outlineLevel="1">
      <c r="A5" s="89">
        <v>10</v>
      </c>
      <c r="B5" s="89">
        <v>1500</v>
      </c>
      <c r="C5" s="89">
        <v>1000</v>
      </c>
      <c r="D5" s="89">
        <v>2000</v>
      </c>
      <c r="E5" s="89">
        <v>5000</v>
      </c>
      <c r="F5" s="89"/>
      <c r="G5" s="89"/>
      <c r="H5" s="89"/>
      <c r="I5" s="89"/>
      <c r="J5" s="89"/>
      <c r="K5" s="89"/>
      <c r="L5" s="89"/>
      <c r="M5" s="89"/>
      <c r="N5" s="89"/>
      <c r="O5" s="89"/>
      <c r="P5" s="89"/>
      <c r="Q5" s="89"/>
      <c r="R5" s="89"/>
      <c r="S5" s="89"/>
      <c r="T5" s="89"/>
      <c r="U5" s="89"/>
      <c r="V5" s="89"/>
      <c r="W5" s="89"/>
      <c r="X5" s="89"/>
      <c r="Y5" s="89"/>
    </row>
    <row r="6" spans="1:25" ht="15.75" customHeight="1" outlineLevel="1">
      <c r="A6" s="89">
        <v>30</v>
      </c>
      <c r="B6" s="89">
        <v>1000</v>
      </c>
      <c r="C6" s="89">
        <v>700</v>
      </c>
      <c r="D6" s="89">
        <v>1500</v>
      </c>
      <c r="E6" s="89">
        <v>4000</v>
      </c>
      <c r="F6" s="89"/>
      <c r="G6" s="89"/>
      <c r="H6" s="89"/>
      <c r="I6" s="89"/>
      <c r="J6" s="89"/>
      <c r="K6" s="89"/>
      <c r="L6" s="89"/>
      <c r="M6" s="89"/>
      <c r="N6" s="89"/>
      <c r="O6" s="89"/>
      <c r="P6" s="89"/>
      <c r="Q6" s="89"/>
      <c r="R6" s="89"/>
      <c r="S6" s="89"/>
      <c r="T6" s="89"/>
      <c r="U6" s="89"/>
      <c r="V6" s="89"/>
      <c r="W6" s="89"/>
      <c r="X6" s="89"/>
      <c r="Y6" s="89"/>
    </row>
    <row r="7" spans="1:25" ht="15.75" customHeight="1" outlineLevel="1">
      <c r="A7" s="89">
        <v>50</v>
      </c>
      <c r="B7" s="89">
        <v>1000</v>
      </c>
      <c r="C7" s="89">
        <v>700</v>
      </c>
      <c r="D7" s="89">
        <v>1500</v>
      </c>
      <c r="E7" s="89">
        <v>3000</v>
      </c>
      <c r="F7" s="89"/>
      <c r="G7" s="89"/>
      <c r="H7" s="89"/>
      <c r="I7" s="89"/>
      <c r="J7" s="89"/>
      <c r="K7" s="89"/>
      <c r="L7" s="89"/>
      <c r="M7" s="89"/>
      <c r="N7" s="89"/>
      <c r="O7" s="89"/>
      <c r="P7" s="89"/>
      <c r="Q7" s="89"/>
      <c r="R7" s="89"/>
      <c r="S7" s="89"/>
      <c r="T7" s="89"/>
      <c r="U7" s="89"/>
      <c r="V7" s="89"/>
      <c r="W7" s="89"/>
      <c r="X7" s="89"/>
      <c r="Y7" s="89"/>
    </row>
    <row r="8" spans="1:25" ht="15.75" customHeight="1" outlineLevel="1">
      <c r="A8" s="89">
        <v>70</v>
      </c>
      <c r="B8" s="89">
        <v>700</v>
      </c>
      <c r="C8" s="89">
        <v>500</v>
      </c>
      <c r="D8" s="89">
        <v>1300</v>
      </c>
      <c r="E8" s="89">
        <v>2500</v>
      </c>
      <c r="F8" s="89"/>
      <c r="G8" s="89"/>
      <c r="H8" s="89"/>
      <c r="I8" s="89"/>
      <c r="J8" s="89"/>
      <c r="K8" s="89"/>
      <c r="L8" s="89"/>
      <c r="M8" s="89"/>
      <c r="N8" s="89"/>
      <c r="O8" s="89"/>
      <c r="P8" s="89"/>
      <c r="Q8" s="89"/>
      <c r="R8" s="89"/>
      <c r="S8" s="89"/>
      <c r="T8" s="89"/>
      <c r="U8" s="89"/>
      <c r="V8" s="89"/>
      <c r="W8" s="89"/>
      <c r="X8" s="89"/>
      <c r="Y8" s="89"/>
    </row>
    <row r="9" spans="1:25" ht="15.75" customHeight="1" outlineLevel="1">
      <c r="A9" s="89">
        <v>100</v>
      </c>
      <c r="B9" s="89">
        <v>700</v>
      </c>
      <c r="C9" s="89">
        <v>500</v>
      </c>
      <c r="D9" s="89">
        <v>1300</v>
      </c>
      <c r="E9" s="89">
        <v>2000</v>
      </c>
      <c r="F9" s="89"/>
      <c r="G9" s="89"/>
      <c r="H9" s="89"/>
      <c r="I9" s="89"/>
      <c r="J9" s="89"/>
      <c r="K9" s="89"/>
      <c r="L9" s="89"/>
      <c r="M9" s="89"/>
      <c r="N9" s="89"/>
      <c r="O9" s="89"/>
      <c r="P9" s="89"/>
      <c r="Q9" s="89"/>
      <c r="R9" s="89"/>
      <c r="S9" s="89"/>
      <c r="T9" s="89"/>
      <c r="U9" s="89"/>
      <c r="V9" s="89"/>
      <c r="W9" s="89"/>
      <c r="X9" s="89"/>
      <c r="Y9" s="89"/>
    </row>
    <row r="10" spans="1:25" ht="15.75" customHeight="1" outlineLevel="1">
      <c r="A10" s="89">
        <v>1000</v>
      </c>
      <c r="B10" s="89">
        <v>500</v>
      </c>
      <c r="C10" s="89">
        <v>500</v>
      </c>
      <c r="D10" s="89">
        <v>1000</v>
      </c>
      <c r="E10" s="89">
        <v>1500</v>
      </c>
      <c r="F10" s="89"/>
      <c r="G10" s="89"/>
      <c r="H10" s="89"/>
      <c r="I10" s="89"/>
      <c r="J10" s="89"/>
      <c r="K10" s="89"/>
      <c r="L10" s="89"/>
      <c r="M10" s="89"/>
      <c r="N10" s="89"/>
      <c r="O10" s="89"/>
      <c r="P10" s="89"/>
      <c r="Q10" s="89"/>
      <c r="R10" s="89"/>
      <c r="S10" s="89"/>
      <c r="T10" s="89"/>
      <c r="U10" s="89"/>
      <c r="V10" s="89"/>
      <c r="W10" s="89"/>
      <c r="X10" s="89"/>
      <c r="Y10" s="89"/>
    </row>
    <row r="11" spans="1:25" ht="15.75" customHeight="1" outlineLevel="1">
      <c r="A11" s="89"/>
      <c r="B11" s="89"/>
      <c r="C11" s="89"/>
      <c r="D11" s="89"/>
      <c r="E11" s="89"/>
      <c r="F11" s="89"/>
      <c r="G11" s="89"/>
      <c r="H11" s="89"/>
      <c r="I11" s="89"/>
      <c r="J11" s="89"/>
      <c r="K11" s="89"/>
      <c r="L11" s="89"/>
      <c r="M11" s="89"/>
      <c r="N11" s="89"/>
      <c r="O11" s="89"/>
      <c r="P11" s="89"/>
      <c r="Q11" s="89"/>
      <c r="R11" s="89"/>
      <c r="S11" s="89"/>
      <c r="T11" s="89"/>
      <c r="U11" s="89"/>
      <c r="V11" s="89"/>
      <c r="W11" s="89"/>
      <c r="X11" s="89"/>
      <c r="Y11" s="89"/>
    </row>
    <row r="12" spans="1:25" ht="15.75" customHeight="1" outlineLevel="1">
      <c r="A12" s="89"/>
      <c r="B12" s="89"/>
      <c r="C12" s="89"/>
      <c r="D12" s="89"/>
      <c r="E12" s="89"/>
      <c r="F12" s="89"/>
      <c r="G12" s="89"/>
      <c r="H12" s="89"/>
      <c r="I12" s="89"/>
      <c r="J12" s="89"/>
      <c r="K12" s="89"/>
      <c r="L12" s="89"/>
      <c r="M12" s="89"/>
      <c r="N12" s="89"/>
      <c r="O12" s="89"/>
      <c r="P12" s="89"/>
      <c r="Q12" s="89"/>
      <c r="R12" s="89"/>
      <c r="S12" s="89"/>
      <c r="T12" s="89"/>
      <c r="U12" s="89"/>
      <c r="V12" s="89"/>
      <c r="W12" s="89"/>
      <c r="X12" s="89"/>
      <c r="Y12" s="89"/>
    </row>
    <row r="13" spans="1:25" ht="15.75" customHeight="1" outlineLevel="1">
      <c r="A13" s="89"/>
      <c r="B13" s="89"/>
      <c r="C13" s="89"/>
      <c r="D13" s="89"/>
      <c r="E13" s="89"/>
      <c r="F13" s="89"/>
      <c r="G13" s="89"/>
      <c r="H13" s="89"/>
      <c r="I13" s="89"/>
      <c r="J13" s="89"/>
      <c r="K13" s="89"/>
      <c r="L13" s="89"/>
      <c r="M13" s="89"/>
      <c r="N13" s="89"/>
      <c r="O13" s="89"/>
      <c r="P13" s="89"/>
      <c r="Q13" s="89"/>
      <c r="R13" s="89"/>
      <c r="S13" s="89"/>
      <c r="T13" s="89"/>
      <c r="U13" s="89"/>
      <c r="V13" s="89"/>
      <c r="W13" s="89"/>
      <c r="X13" s="89"/>
      <c r="Y13" s="89"/>
    </row>
    <row r="14" spans="1:25" ht="15.75" customHeight="1" outlineLevel="1">
      <c r="A14" s="89"/>
      <c r="B14" s="89"/>
      <c r="C14" s="89"/>
      <c r="D14" s="89"/>
      <c r="E14" s="89"/>
      <c r="F14" s="89"/>
      <c r="G14" s="89"/>
      <c r="H14" s="89"/>
      <c r="I14" s="89"/>
      <c r="J14" s="89"/>
      <c r="K14" s="89"/>
      <c r="L14" s="89"/>
      <c r="M14" s="89"/>
      <c r="N14" s="89"/>
      <c r="O14" s="89"/>
      <c r="P14" s="89"/>
      <c r="Q14" s="89"/>
      <c r="R14" s="89"/>
      <c r="S14" s="89"/>
      <c r="T14" s="89"/>
      <c r="U14" s="89"/>
      <c r="V14" s="89"/>
      <c r="W14" s="89"/>
      <c r="X14" s="89"/>
      <c r="Y14" s="89"/>
    </row>
    <row r="15" spans="1:25" ht="15.75" customHeight="1" outlineLevel="1">
      <c r="A15" s="89"/>
      <c r="B15" s="89"/>
      <c r="C15" s="89"/>
      <c r="D15" s="89"/>
      <c r="E15" s="89"/>
      <c r="F15" s="89"/>
      <c r="G15" s="89"/>
      <c r="H15" s="89"/>
      <c r="I15" s="89"/>
      <c r="J15" s="89"/>
      <c r="K15" s="89"/>
      <c r="L15" s="89"/>
      <c r="M15" s="89"/>
      <c r="N15" s="89"/>
      <c r="O15" s="89"/>
      <c r="P15" s="89"/>
      <c r="Q15" s="89"/>
      <c r="R15" s="89"/>
      <c r="S15" s="89"/>
      <c r="T15" s="89"/>
      <c r="U15" s="89"/>
      <c r="V15" s="89"/>
      <c r="W15" s="89"/>
      <c r="X15" s="89"/>
      <c r="Y15" s="89"/>
    </row>
    <row r="16" spans="1:25" ht="15.75" customHeight="1" outlineLevel="1">
      <c r="A16" s="89"/>
      <c r="B16" s="89"/>
      <c r="C16" s="89"/>
      <c r="D16" s="89"/>
      <c r="E16" s="89"/>
      <c r="F16" s="89"/>
      <c r="G16" s="89"/>
      <c r="H16" s="89"/>
      <c r="I16" s="89"/>
      <c r="J16" s="89"/>
      <c r="K16" s="89"/>
      <c r="L16" s="89"/>
      <c r="M16" s="89"/>
      <c r="N16" s="89"/>
      <c r="O16" s="89"/>
      <c r="P16" s="89"/>
      <c r="Q16" s="89"/>
      <c r="R16" s="89"/>
      <c r="S16" s="89"/>
      <c r="T16" s="89"/>
      <c r="U16" s="89"/>
      <c r="V16" s="89"/>
      <c r="W16" s="89"/>
      <c r="X16" s="89"/>
      <c r="Y16" s="89"/>
    </row>
    <row r="17" spans="1:25" ht="15.75" customHeight="1" outlineLevel="1">
      <c r="A17" s="89"/>
      <c r="B17" s="89"/>
      <c r="C17" s="89"/>
      <c r="D17" s="89"/>
      <c r="E17" s="89"/>
      <c r="F17" s="89"/>
      <c r="G17" s="89"/>
      <c r="H17" s="89"/>
      <c r="I17" s="89"/>
      <c r="J17" s="89"/>
      <c r="K17" s="89"/>
      <c r="L17" s="89"/>
      <c r="M17" s="89"/>
      <c r="N17" s="89"/>
      <c r="O17" s="89"/>
      <c r="P17" s="89"/>
      <c r="Q17" s="89"/>
      <c r="R17" s="89"/>
      <c r="S17" s="89"/>
      <c r="T17" s="89"/>
      <c r="U17" s="89"/>
      <c r="V17" s="89"/>
      <c r="W17" s="89"/>
      <c r="X17" s="89"/>
      <c r="Y17" s="89"/>
    </row>
    <row r="18" spans="1:25" ht="15.75" customHeight="1" outlineLevel="1">
      <c r="A18" s="89"/>
      <c r="B18" s="89"/>
      <c r="C18" s="89"/>
      <c r="D18" s="89"/>
      <c r="E18" s="89"/>
      <c r="F18" s="89"/>
      <c r="G18" s="89"/>
      <c r="H18" s="89"/>
      <c r="I18" s="89"/>
      <c r="J18" s="89"/>
      <c r="K18" s="89"/>
      <c r="L18" s="89"/>
      <c r="M18" s="89"/>
      <c r="N18" s="89"/>
      <c r="O18" s="89"/>
      <c r="P18" s="89"/>
      <c r="Q18" s="89"/>
      <c r="R18" s="89"/>
      <c r="S18" s="89"/>
      <c r="T18" s="89"/>
      <c r="U18" s="89"/>
      <c r="V18" s="89"/>
      <c r="W18" s="89"/>
      <c r="X18" s="89"/>
      <c r="Y18" s="89"/>
    </row>
    <row r="19" spans="1:25" ht="15.75" customHeight="1" outlineLevel="1">
      <c r="A19" s="89"/>
      <c r="B19" s="89"/>
      <c r="C19" s="89"/>
      <c r="D19" s="89"/>
      <c r="E19" s="89"/>
      <c r="F19" s="89"/>
      <c r="G19" s="89"/>
      <c r="H19" s="89"/>
      <c r="I19" s="89"/>
      <c r="J19" s="89"/>
      <c r="K19" s="89"/>
      <c r="L19" s="89"/>
      <c r="M19" s="89"/>
      <c r="N19" s="89"/>
      <c r="O19" s="89"/>
      <c r="P19" s="89"/>
      <c r="Q19" s="89"/>
      <c r="R19" s="89"/>
      <c r="S19" s="89"/>
      <c r="T19" s="89"/>
      <c r="U19" s="89"/>
      <c r="V19" s="89"/>
      <c r="W19" s="89"/>
      <c r="X19" s="89"/>
      <c r="Y19" s="89"/>
    </row>
    <row r="20" spans="1:25" ht="15.75" customHeight="1" outlineLevel="1">
      <c r="A20" s="89"/>
      <c r="B20" s="89"/>
      <c r="C20" s="89"/>
      <c r="D20" s="89"/>
      <c r="E20" s="89"/>
      <c r="F20" s="89"/>
      <c r="G20" s="89"/>
      <c r="H20" s="89"/>
      <c r="I20" s="89"/>
      <c r="J20" s="89"/>
      <c r="K20" s="89"/>
      <c r="L20" s="89"/>
      <c r="M20" s="89"/>
      <c r="N20" s="89"/>
      <c r="O20" s="89"/>
      <c r="P20" s="89"/>
      <c r="Q20" s="89"/>
      <c r="R20" s="89"/>
      <c r="S20" s="89"/>
      <c r="T20" s="89"/>
      <c r="U20" s="89"/>
      <c r="V20" s="89"/>
      <c r="W20" s="89"/>
      <c r="X20" s="89"/>
      <c r="Y20" s="89"/>
    </row>
    <row r="21" spans="1:25" ht="15.75" customHeight="1">
      <c r="A21" s="88" t="s">
        <v>292</v>
      </c>
      <c r="B21" s="88" t="s">
        <v>297</v>
      </c>
      <c r="C21" s="88" t="s">
        <v>298</v>
      </c>
      <c r="D21" s="88" t="s">
        <v>299</v>
      </c>
      <c r="E21" s="91"/>
      <c r="F21" s="89"/>
      <c r="G21" s="89"/>
      <c r="H21" s="89"/>
      <c r="I21" s="89"/>
      <c r="J21" s="89"/>
      <c r="K21" s="89"/>
      <c r="L21" s="89"/>
      <c r="M21" s="89"/>
      <c r="N21" s="89"/>
      <c r="O21" s="89"/>
      <c r="P21" s="89"/>
      <c r="Q21" s="89"/>
      <c r="R21" s="89"/>
      <c r="S21" s="89"/>
      <c r="T21" s="89"/>
      <c r="U21" s="89"/>
      <c r="V21" s="89"/>
      <c r="W21" s="89"/>
      <c r="X21" s="89"/>
      <c r="Y21" s="89"/>
    </row>
    <row r="22" spans="1:25" ht="15.75" customHeight="1" outlineLevel="1">
      <c r="A22" s="90"/>
      <c r="B22" s="90"/>
      <c r="C22" s="90"/>
      <c r="D22" s="90"/>
      <c r="E22" s="89"/>
      <c r="F22" s="89"/>
      <c r="G22" s="89"/>
      <c r="H22" s="89"/>
      <c r="I22" s="89"/>
      <c r="J22" s="89"/>
      <c r="K22" s="89"/>
      <c r="L22" s="89"/>
      <c r="M22" s="89"/>
      <c r="N22" s="89"/>
      <c r="O22" s="89"/>
      <c r="P22" s="89"/>
      <c r="Q22" s="89"/>
      <c r="R22" s="89"/>
      <c r="S22" s="89"/>
      <c r="T22" s="89"/>
      <c r="U22" s="89"/>
      <c r="V22" s="89"/>
      <c r="W22" s="89"/>
      <c r="X22" s="89"/>
      <c r="Y22" s="89"/>
    </row>
    <row r="23" spans="1:25" ht="15.75" customHeight="1" outlineLevel="1">
      <c r="A23" s="89">
        <v>1</v>
      </c>
      <c r="B23" s="89">
        <v>30000</v>
      </c>
      <c r="C23" s="89">
        <v>30000</v>
      </c>
      <c r="D23" s="89">
        <v>30000</v>
      </c>
      <c r="E23" s="89"/>
      <c r="F23" s="89"/>
      <c r="G23" s="89"/>
      <c r="H23" s="89"/>
      <c r="I23" s="89"/>
      <c r="J23" s="89"/>
      <c r="K23" s="89"/>
      <c r="L23" s="89"/>
      <c r="M23" s="89"/>
      <c r="N23" s="89"/>
      <c r="O23" s="89"/>
      <c r="P23" s="89"/>
      <c r="Q23" s="89"/>
      <c r="R23" s="89"/>
      <c r="S23" s="89"/>
      <c r="T23" s="89"/>
      <c r="U23" s="89"/>
      <c r="V23" s="89"/>
      <c r="W23" s="89"/>
      <c r="X23" s="89"/>
      <c r="Y23" s="89"/>
    </row>
    <row r="24" spans="1:25" ht="15.75" customHeight="1" outlineLevel="1">
      <c r="A24" s="89">
        <v>4</v>
      </c>
      <c r="B24" s="89">
        <v>20000</v>
      </c>
      <c r="C24" s="89">
        <v>20000</v>
      </c>
      <c r="D24" s="89">
        <v>25000</v>
      </c>
      <c r="E24" s="89"/>
      <c r="F24" s="89"/>
      <c r="G24" s="89"/>
      <c r="H24" s="89"/>
      <c r="I24" s="89"/>
      <c r="J24" s="89"/>
      <c r="K24" s="89"/>
      <c r="L24" s="89"/>
      <c r="M24" s="89"/>
      <c r="N24" s="89"/>
      <c r="O24" s="89"/>
      <c r="P24" s="89"/>
      <c r="Q24" s="89"/>
      <c r="R24" s="89"/>
      <c r="S24" s="89"/>
      <c r="T24" s="89"/>
      <c r="U24" s="89"/>
      <c r="V24" s="89"/>
      <c r="W24" s="89"/>
      <c r="X24" s="89"/>
      <c r="Y24" s="89"/>
    </row>
    <row r="25" spans="1:25" ht="15.75" customHeight="1" outlineLevel="1">
      <c r="A25" s="89">
        <v>10</v>
      </c>
      <c r="B25" s="89">
        <v>14000</v>
      </c>
      <c r="C25" s="89">
        <v>15000</v>
      </c>
      <c r="D25" s="89">
        <v>20000</v>
      </c>
      <c r="E25" s="89"/>
      <c r="F25" s="89"/>
      <c r="G25" s="89"/>
      <c r="H25" s="89"/>
      <c r="I25" s="89"/>
      <c r="J25" s="89"/>
      <c r="K25" s="89"/>
      <c r="L25" s="89"/>
      <c r="M25" s="89"/>
      <c r="N25" s="89"/>
      <c r="O25" s="89"/>
      <c r="P25" s="89"/>
      <c r="Q25" s="89"/>
      <c r="R25" s="89"/>
      <c r="S25" s="89"/>
      <c r="T25" s="89"/>
      <c r="U25" s="89"/>
      <c r="V25" s="89"/>
      <c r="W25" s="89"/>
      <c r="X25" s="89"/>
      <c r="Y25" s="89"/>
    </row>
    <row r="26" spans="1:25" ht="15.75" customHeight="1" outlineLevel="1">
      <c r="A26" s="89">
        <v>50</v>
      </c>
      <c r="B26" s="89">
        <v>9000</v>
      </c>
      <c r="C26" s="89">
        <v>10000</v>
      </c>
      <c r="D26" s="89">
        <v>15000</v>
      </c>
      <c r="E26" s="89"/>
      <c r="F26" s="89"/>
      <c r="G26" s="89"/>
      <c r="H26" s="89"/>
      <c r="I26" s="89"/>
      <c r="J26" s="89"/>
      <c r="K26" s="89"/>
      <c r="L26" s="89"/>
      <c r="M26" s="89"/>
      <c r="N26" s="89"/>
      <c r="O26" s="89"/>
      <c r="P26" s="89"/>
      <c r="Q26" s="89"/>
      <c r="R26" s="89"/>
      <c r="S26" s="89"/>
      <c r="T26" s="89"/>
      <c r="U26" s="89"/>
      <c r="V26" s="89"/>
      <c r="W26" s="89"/>
      <c r="X26" s="89"/>
      <c r="Y26" s="89"/>
    </row>
    <row r="27" spans="1:25" ht="15.75" customHeight="1" outlineLevel="1">
      <c r="A27" s="89">
        <v>100</v>
      </c>
      <c r="B27" s="89">
        <v>7000</v>
      </c>
      <c r="C27" s="89">
        <v>8000</v>
      </c>
      <c r="D27" s="89">
        <v>9000</v>
      </c>
      <c r="E27" s="89"/>
      <c r="F27" s="89"/>
      <c r="G27" s="89"/>
      <c r="H27" s="89"/>
      <c r="I27" s="89"/>
      <c r="J27" s="89"/>
      <c r="K27" s="89"/>
      <c r="L27" s="89"/>
      <c r="M27" s="89"/>
      <c r="N27" s="89"/>
      <c r="O27" s="89"/>
      <c r="P27" s="89"/>
      <c r="Q27" s="89"/>
      <c r="R27" s="89"/>
      <c r="S27" s="89"/>
      <c r="T27" s="89"/>
      <c r="U27" s="89"/>
      <c r="V27" s="89"/>
      <c r="W27" s="89"/>
      <c r="X27" s="89"/>
      <c r="Y27" s="89"/>
    </row>
    <row r="28" spans="1:25" ht="15.75" customHeight="1" outlineLevel="1">
      <c r="A28" s="89">
        <v>1000</v>
      </c>
      <c r="B28" s="89">
        <v>6000</v>
      </c>
      <c r="C28" s="89">
        <v>7000</v>
      </c>
      <c r="D28" s="89">
        <v>7000</v>
      </c>
      <c r="E28" s="89"/>
      <c r="F28" s="89"/>
      <c r="G28" s="89"/>
      <c r="H28" s="89"/>
      <c r="I28" s="89"/>
      <c r="J28" s="89"/>
      <c r="K28" s="89"/>
      <c r="L28" s="89"/>
      <c r="M28" s="89"/>
      <c r="N28" s="89"/>
      <c r="O28" s="89"/>
      <c r="P28" s="89"/>
      <c r="Q28" s="89"/>
      <c r="R28" s="89"/>
      <c r="S28" s="89"/>
      <c r="T28" s="89"/>
      <c r="U28" s="89"/>
      <c r="V28" s="89"/>
      <c r="W28" s="89"/>
      <c r="X28" s="89"/>
      <c r="Y28" s="89"/>
    </row>
    <row r="29" spans="1:25" ht="15.75" customHeight="1" outlineLevel="1">
      <c r="A29" s="89"/>
      <c r="B29" s="89"/>
      <c r="C29" s="89"/>
      <c r="D29" s="89"/>
      <c r="E29" s="89"/>
      <c r="F29" s="89"/>
      <c r="G29" s="89"/>
      <c r="H29" s="89"/>
      <c r="I29" s="89"/>
      <c r="J29" s="89"/>
      <c r="K29" s="89"/>
      <c r="L29" s="89"/>
      <c r="M29" s="89"/>
      <c r="N29" s="89"/>
      <c r="O29" s="89"/>
      <c r="P29" s="89"/>
      <c r="Q29" s="89"/>
      <c r="R29" s="89"/>
      <c r="S29" s="89"/>
      <c r="T29" s="89"/>
      <c r="U29" s="89"/>
      <c r="V29" s="89"/>
      <c r="W29" s="89"/>
      <c r="X29" s="89"/>
      <c r="Y29" s="89"/>
    </row>
    <row r="30" spans="1:25" ht="15.75" customHeight="1" outlineLevel="1">
      <c r="A30" s="89"/>
      <c r="B30" s="89"/>
      <c r="C30" s="89"/>
      <c r="D30" s="89"/>
      <c r="E30" s="89"/>
      <c r="F30" s="89"/>
      <c r="G30" s="89"/>
      <c r="H30" s="89"/>
      <c r="I30" s="89"/>
      <c r="J30" s="89"/>
      <c r="K30" s="89"/>
      <c r="L30" s="89"/>
      <c r="M30" s="89"/>
      <c r="N30" s="89"/>
      <c r="O30" s="89"/>
      <c r="P30" s="89"/>
      <c r="Q30" s="89"/>
      <c r="R30" s="89"/>
      <c r="S30" s="89"/>
      <c r="T30" s="89"/>
      <c r="U30" s="89"/>
      <c r="V30" s="89"/>
      <c r="W30" s="89"/>
      <c r="X30" s="89"/>
      <c r="Y30" s="89"/>
    </row>
    <row r="31" spans="1:25" ht="15.75" customHeight="1">
      <c r="A31" s="88" t="s">
        <v>292</v>
      </c>
      <c r="B31" s="92" t="s">
        <v>300</v>
      </c>
      <c r="C31" s="92" t="s">
        <v>301</v>
      </c>
      <c r="D31" s="92" t="s">
        <v>302</v>
      </c>
      <c r="E31" s="92" t="s">
        <v>303</v>
      </c>
      <c r="F31" s="89"/>
      <c r="G31" s="89"/>
      <c r="H31" s="89"/>
      <c r="I31" s="89"/>
      <c r="J31" s="89"/>
      <c r="K31" s="89"/>
      <c r="L31" s="89"/>
      <c r="M31" s="89"/>
      <c r="N31" s="89"/>
      <c r="O31" s="89"/>
      <c r="P31" s="89"/>
      <c r="Q31" s="89"/>
      <c r="R31" s="89"/>
      <c r="S31" s="89"/>
      <c r="T31" s="89"/>
      <c r="U31" s="89"/>
      <c r="V31" s="89"/>
      <c r="W31" s="89"/>
      <c r="X31" s="89"/>
      <c r="Y31" s="89"/>
    </row>
    <row r="32" spans="1:25" ht="15.75" customHeight="1" outlineLevel="1">
      <c r="A32" s="90"/>
      <c r="B32" s="90"/>
      <c r="C32" s="90"/>
      <c r="D32" s="90"/>
      <c r="E32" s="90"/>
      <c r="F32" s="89"/>
      <c r="G32" s="89"/>
      <c r="H32" s="89"/>
      <c r="I32" s="89"/>
      <c r="J32" s="89"/>
      <c r="K32" s="89"/>
      <c r="L32" s="89"/>
      <c r="M32" s="89"/>
      <c r="N32" s="89"/>
      <c r="O32" s="89"/>
      <c r="P32" s="89"/>
      <c r="Q32" s="89"/>
      <c r="R32" s="89"/>
      <c r="S32" s="89"/>
      <c r="T32" s="89"/>
      <c r="U32" s="89"/>
      <c r="V32" s="89"/>
      <c r="W32" s="89"/>
      <c r="X32" s="89"/>
      <c r="Y32" s="89"/>
    </row>
    <row r="33" spans="1:25" ht="15.75" customHeight="1" outlineLevel="1">
      <c r="A33" s="89">
        <v>1</v>
      </c>
      <c r="B33" s="93">
        <v>5000</v>
      </c>
      <c r="C33" s="93">
        <v>5000</v>
      </c>
      <c r="D33" s="93">
        <v>5000</v>
      </c>
      <c r="E33" s="94">
        <v>4500</v>
      </c>
      <c r="F33" s="89"/>
      <c r="G33" s="89"/>
      <c r="H33" s="89"/>
      <c r="I33" s="89"/>
      <c r="J33" s="89"/>
      <c r="K33" s="89"/>
      <c r="L33" s="89"/>
      <c r="M33" s="89"/>
      <c r="N33" s="89"/>
      <c r="O33" s="89"/>
      <c r="P33" s="89"/>
      <c r="Q33" s="89"/>
      <c r="R33" s="89"/>
      <c r="S33" s="89"/>
      <c r="T33" s="89"/>
      <c r="U33" s="89"/>
      <c r="V33" s="89"/>
      <c r="W33" s="89"/>
      <c r="X33" s="89"/>
      <c r="Y33" s="89"/>
    </row>
    <row r="34" spans="1:25" ht="15.75" customHeight="1" outlineLevel="1">
      <c r="A34" s="89">
        <v>4</v>
      </c>
      <c r="B34" s="93">
        <v>4000</v>
      </c>
      <c r="C34" s="93">
        <v>4000</v>
      </c>
      <c r="D34" s="93">
        <v>4000</v>
      </c>
      <c r="E34" s="94">
        <v>3500</v>
      </c>
      <c r="F34" s="89"/>
      <c r="G34" s="89"/>
      <c r="H34" s="89"/>
      <c r="I34" s="89"/>
      <c r="J34" s="89"/>
      <c r="K34" s="89"/>
      <c r="L34" s="89"/>
      <c r="M34" s="89"/>
      <c r="N34" s="89"/>
      <c r="O34" s="89"/>
      <c r="P34" s="89"/>
      <c r="Q34" s="89"/>
      <c r="R34" s="89"/>
      <c r="S34" s="89"/>
      <c r="T34" s="89"/>
      <c r="U34" s="89"/>
      <c r="V34" s="89"/>
      <c r="W34" s="89"/>
      <c r="X34" s="89"/>
      <c r="Y34" s="89"/>
    </row>
    <row r="35" spans="1:25" ht="15.75" customHeight="1" outlineLevel="1">
      <c r="A35" s="89">
        <v>10</v>
      </c>
      <c r="B35" s="93">
        <v>3000</v>
      </c>
      <c r="C35" s="93">
        <v>3000</v>
      </c>
      <c r="D35" s="93">
        <v>3000</v>
      </c>
      <c r="E35" s="94">
        <v>2500</v>
      </c>
      <c r="F35" s="89"/>
      <c r="G35" s="89"/>
      <c r="H35" s="89"/>
      <c r="I35" s="89"/>
      <c r="J35" s="89"/>
      <c r="K35" s="89"/>
      <c r="L35" s="89"/>
      <c r="M35" s="89"/>
      <c r="N35" s="89"/>
      <c r="O35" s="89"/>
      <c r="P35" s="89"/>
      <c r="Q35" s="89"/>
      <c r="R35" s="89"/>
      <c r="S35" s="89"/>
      <c r="T35" s="89"/>
      <c r="U35" s="89"/>
      <c r="V35" s="89"/>
      <c r="W35" s="89"/>
      <c r="X35" s="89"/>
      <c r="Y35" s="89"/>
    </row>
    <row r="36" spans="1:25" ht="15.75" customHeight="1" outlineLevel="1">
      <c r="A36" s="89">
        <v>50</v>
      </c>
      <c r="B36" s="93">
        <v>2500</v>
      </c>
      <c r="C36" s="93">
        <v>2500</v>
      </c>
      <c r="D36" s="93">
        <v>2500</v>
      </c>
      <c r="E36" s="94">
        <v>2000</v>
      </c>
      <c r="F36" s="89"/>
      <c r="H36" s="89"/>
      <c r="I36" s="89"/>
      <c r="J36" s="89"/>
      <c r="K36" s="89"/>
      <c r="L36" s="89"/>
      <c r="M36" s="89"/>
      <c r="N36" s="89"/>
      <c r="O36" s="89"/>
      <c r="P36" s="89"/>
      <c r="Q36" s="89"/>
      <c r="R36" s="89"/>
      <c r="S36" s="89"/>
      <c r="T36" s="89"/>
      <c r="U36" s="89"/>
      <c r="V36" s="89"/>
      <c r="W36" s="89"/>
      <c r="X36" s="89"/>
      <c r="Y36" s="89"/>
    </row>
    <row r="37" spans="1:25" ht="15.75" customHeight="1" outlineLevel="1">
      <c r="A37" s="89">
        <v>100</v>
      </c>
      <c r="B37" s="93">
        <v>2000</v>
      </c>
      <c r="C37" s="93">
        <v>2300</v>
      </c>
      <c r="D37" s="93">
        <v>2300</v>
      </c>
      <c r="E37" s="94">
        <v>1800</v>
      </c>
      <c r="F37" s="89"/>
      <c r="G37" s="89"/>
      <c r="H37" s="89"/>
      <c r="I37" s="89"/>
      <c r="J37" s="89"/>
      <c r="K37" s="89"/>
      <c r="L37" s="89"/>
      <c r="M37" s="89"/>
      <c r="N37" s="89"/>
      <c r="O37" s="89"/>
      <c r="P37" s="89"/>
      <c r="Q37" s="89"/>
      <c r="R37" s="89"/>
      <c r="S37" s="89"/>
      <c r="T37" s="89"/>
      <c r="U37" s="89"/>
      <c r="V37" s="89"/>
      <c r="W37" s="89"/>
      <c r="X37" s="89"/>
      <c r="Y37" s="89"/>
    </row>
    <row r="38" spans="1:25" ht="15.75" customHeight="1" outlineLevel="1">
      <c r="A38" s="89">
        <v>1000</v>
      </c>
      <c r="B38" s="93">
        <v>2000</v>
      </c>
      <c r="C38" s="93">
        <v>2000</v>
      </c>
      <c r="D38" s="93">
        <v>2000</v>
      </c>
      <c r="E38" s="94">
        <v>1600</v>
      </c>
      <c r="F38" s="89"/>
      <c r="G38" s="89"/>
      <c r="H38" s="89"/>
      <c r="I38" s="89"/>
      <c r="J38" s="89"/>
      <c r="K38" s="89"/>
      <c r="L38" s="89"/>
      <c r="M38" s="89"/>
      <c r="N38" s="89"/>
      <c r="O38" s="89"/>
      <c r="P38" s="89"/>
      <c r="Q38" s="89"/>
      <c r="R38" s="89"/>
      <c r="S38" s="89"/>
      <c r="T38" s="89"/>
      <c r="U38" s="89"/>
      <c r="V38" s="89"/>
      <c r="W38" s="89"/>
      <c r="X38" s="89"/>
      <c r="Y38" s="89"/>
    </row>
    <row r="39" spans="1:25" ht="15.75" customHeight="1" outlineLevel="1">
      <c r="A39" s="89"/>
      <c r="B39" s="89"/>
      <c r="C39" s="89"/>
      <c r="D39" s="89"/>
      <c r="E39" s="89"/>
      <c r="F39" s="89"/>
      <c r="G39" s="89"/>
      <c r="H39" s="89"/>
      <c r="I39" s="89"/>
      <c r="J39" s="89"/>
      <c r="K39" s="89"/>
      <c r="L39" s="89"/>
      <c r="M39" s="89"/>
      <c r="N39" s="89"/>
      <c r="O39" s="89"/>
      <c r="P39" s="89"/>
      <c r="Q39" s="89"/>
      <c r="R39" s="89"/>
      <c r="S39" s="89"/>
      <c r="T39" s="89"/>
      <c r="U39" s="89"/>
      <c r="V39" s="89"/>
      <c r="W39" s="89"/>
      <c r="X39" s="89"/>
      <c r="Y39" s="89"/>
    </row>
    <row r="40" spans="1:25" ht="15.75" customHeight="1" outlineLevel="1">
      <c r="A40" s="89"/>
      <c r="B40" s="89"/>
      <c r="C40" s="89"/>
      <c r="D40" s="89"/>
      <c r="E40" s="89"/>
      <c r="F40" s="89"/>
      <c r="G40" s="89"/>
      <c r="H40" s="89"/>
      <c r="I40" s="89"/>
      <c r="J40" s="89"/>
      <c r="K40" s="89"/>
      <c r="L40" s="89"/>
      <c r="M40" s="89"/>
      <c r="N40" s="89"/>
      <c r="O40" s="89"/>
      <c r="P40" s="89"/>
      <c r="Q40" s="89"/>
      <c r="R40" s="89"/>
      <c r="S40" s="89"/>
      <c r="T40" s="89"/>
      <c r="U40" s="89"/>
      <c r="V40" s="89"/>
      <c r="W40" s="89"/>
      <c r="X40" s="89"/>
      <c r="Y40" s="89"/>
    </row>
    <row r="41" spans="1:25" ht="15.75" customHeight="1">
      <c r="A41" s="89"/>
      <c r="B41" s="89"/>
      <c r="C41" s="89"/>
      <c r="D41" s="89"/>
      <c r="E41" s="89"/>
      <c r="F41" s="89"/>
      <c r="G41" s="89"/>
      <c r="H41" s="89"/>
      <c r="I41" s="89"/>
      <c r="J41" s="89"/>
      <c r="K41" s="89"/>
      <c r="L41" s="89"/>
      <c r="M41" s="89"/>
      <c r="N41" s="89"/>
      <c r="O41" s="89"/>
      <c r="P41" s="89"/>
      <c r="Q41" s="89"/>
      <c r="R41" s="89"/>
      <c r="S41" s="89"/>
      <c r="T41" s="89"/>
      <c r="U41" s="89"/>
      <c r="V41" s="89"/>
      <c r="W41" s="89"/>
      <c r="X41" s="89"/>
      <c r="Y41" s="89"/>
    </row>
    <row r="42" spans="1:25" ht="15.75" customHeight="1">
      <c r="A42" s="89"/>
      <c r="B42" s="89"/>
      <c r="C42" s="89"/>
      <c r="D42" s="89"/>
      <c r="E42" s="89"/>
      <c r="F42" s="89"/>
      <c r="G42" s="89"/>
      <c r="H42" s="89"/>
      <c r="I42" s="89"/>
      <c r="J42" s="89"/>
      <c r="K42" s="89"/>
      <c r="L42" s="89"/>
      <c r="M42" s="89"/>
      <c r="N42" s="89"/>
      <c r="O42" s="89"/>
      <c r="P42" s="89"/>
      <c r="Q42" s="89"/>
      <c r="R42" s="89"/>
      <c r="S42" s="89"/>
      <c r="T42" s="89"/>
      <c r="U42" s="89"/>
      <c r="V42" s="89"/>
      <c r="W42" s="89"/>
      <c r="X42" s="89"/>
      <c r="Y42" s="89"/>
    </row>
    <row r="43" spans="1:25" ht="15.75" customHeight="1">
      <c r="A43" s="89"/>
      <c r="B43" s="89"/>
      <c r="C43" s="89"/>
      <c r="D43" s="89"/>
      <c r="E43" s="89"/>
      <c r="F43" s="89"/>
      <c r="G43" s="89"/>
      <c r="H43" s="89"/>
      <c r="I43" s="89"/>
      <c r="J43" s="89"/>
      <c r="K43" s="89"/>
      <c r="L43" s="89"/>
      <c r="M43" s="89"/>
      <c r="N43" s="89"/>
      <c r="O43" s="89"/>
      <c r="P43" s="89"/>
      <c r="Q43" s="89"/>
      <c r="R43" s="89"/>
      <c r="S43" s="89"/>
      <c r="T43" s="89"/>
      <c r="U43" s="89"/>
      <c r="V43" s="89"/>
      <c r="W43" s="89"/>
      <c r="X43" s="89"/>
      <c r="Y43" s="89"/>
    </row>
    <row r="44" spans="1:25" ht="15.75" customHeight="1">
      <c r="A44" s="89"/>
      <c r="B44" s="89"/>
      <c r="C44" s="89"/>
      <c r="D44" s="89"/>
      <c r="E44" s="89"/>
      <c r="F44" s="89"/>
      <c r="G44" s="89"/>
      <c r="H44" s="89"/>
      <c r="I44" s="89"/>
      <c r="J44" s="89"/>
      <c r="K44" s="89"/>
      <c r="L44" s="89"/>
      <c r="M44" s="89"/>
      <c r="N44" s="89"/>
      <c r="O44" s="89"/>
      <c r="P44" s="89"/>
      <c r="Q44" s="89"/>
      <c r="R44" s="89"/>
      <c r="S44" s="89"/>
      <c r="T44" s="89"/>
      <c r="U44" s="89"/>
      <c r="V44" s="89"/>
      <c r="W44" s="89"/>
      <c r="X44" s="89"/>
      <c r="Y44" s="89"/>
    </row>
    <row r="45" spans="1:25" ht="15.75" customHeight="1">
      <c r="A45" s="89"/>
      <c r="B45" s="89"/>
      <c r="C45" s="89"/>
      <c r="D45" s="89"/>
      <c r="E45" s="89"/>
      <c r="F45" s="89"/>
      <c r="G45" s="89"/>
      <c r="H45" s="89"/>
      <c r="I45" s="89"/>
      <c r="J45" s="89"/>
      <c r="K45" s="89"/>
      <c r="L45" s="89"/>
      <c r="M45" s="89"/>
      <c r="N45" s="89"/>
      <c r="O45" s="89"/>
      <c r="P45" s="89"/>
      <c r="Q45" s="89"/>
      <c r="R45" s="89"/>
      <c r="S45" s="89"/>
      <c r="T45" s="89"/>
      <c r="U45" s="89"/>
      <c r="V45" s="89"/>
      <c r="W45" s="89"/>
      <c r="X45" s="89"/>
      <c r="Y45" s="89"/>
    </row>
    <row r="46" spans="1:25" ht="15.75" customHeight="1">
      <c r="A46" s="89"/>
      <c r="B46" s="89"/>
      <c r="C46" s="89"/>
      <c r="D46" s="89"/>
      <c r="E46" s="89"/>
      <c r="F46" s="89"/>
      <c r="G46" s="89"/>
      <c r="H46" s="89"/>
      <c r="I46" s="89"/>
      <c r="J46" s="89"/>
      <c r="K46" s="89"/>
      <c r="L46" s="89"/>
      <c r="M46" s="89"/>
      <c r="N46" s="89"/>
      <c r="O46" s="89"/>
      <c r="P46" s="89"/>
      <c r="Q46" s="89"/>
      <c r="R46" s="89"/>
      <c r="S46" s="89"/>
      <c r="T46" s="89"/>
      <c r="U46" s="89"/>
      <c r="V46" s="89"/>
      <c r="W46" s="89"/>
      <c r="X46" s="89"/>
      <c r="Y46" s="89"/>
    </row>
    <row r="47" spans="1:25" ht="15.75" customHeight="1">
      <c r="A47" s="89"/>
      <c r="B47" s="89"/>
      <c r="C47" s="89"/>
      <c r="D47" s="89"/>
      <c r="E47" s="89"/>
      <c r="F47" s="89"/>
      <c r="G47" s="89"/>
      <c r="H47" s="89"/>
      <c r="I47" s="89"/>
      <c r="J47" s="89"/>
      <c r="K47" s="89"/>
      <c r="L47" s="89"/>
      <c r="M47" s="89"/>
      <c r="N47" s="89"/>
      <c r="O47" s="89"/>
      <c r="P47" s="89"/>
      <c r="Q47" s="89"/>
      <c r="R47" s="89"/>
      <c r="S47" s="89"/>
      <c r="T47" s="89"/>
      <c r="U47" s="89"/>
      <c r="V47" s="89"/>
      <c r="W47" s="89"/>
      <c r="X47" s="89"/>
      <c r="Y47" s="89"/>
    </row>
    <row r="48" spans="1:25" ht="15.75" customHeight="1">
      <c r="A48" s="89"/>
      <c r="B48" s="89"/>
      <c r="C48" s="89"/>
      <c r="D48" s="89"/>
      <c r="E48" s="89"/>
      <c r="F48" s="89"/>
      <c r="G48" s="89"/>
      <c r="H48" s="89"/>
      <c r="I48" s="89"/>
      <c r="J48" s="89"/>
      <c r="K48" s="89"/>
      <c r="L48" s="89"/>
      <c r="M48" s="89"/>
      <c r="N48" s="89"/>
      <c r="O48" s="89"/>
      <c r="P48" s="89"/>
      <c r="Q48" s="89"/>
      <c r="R48" s="89"/>
      <c r="S48" s="89"/>
      <c r="T48" s="89"/>
      <c r="U48" s="89"/>
      <c r="V48" s="89"/>
      <c r="W48" s="89"/>
      <c r="X48" s="89"/>
      <c r="Y48" s="89"/>
    </row>
    <row r="49" spans="1:25" ht="15.75" customHeight="1">
      <c r="A49" s="89"/>
      <c r="B49" s="89"/>
      <c r="C49" s="89"/>
      <c r="D49" s="89"/>
      <c r="E49" s="89"/>
      <c r="F49" s="89"/>
      <c r="G49" s="89"/>
      <c r="H49" s="89"/>
      <c r="I49" s="89"/>
      <c r="J49" s="89"/>
      <c r="K49" s="89"/>
      <c r="L49" s="89"/>
      <c r="M49" s="89"/>
      <c r="N49" s="89"/>
      <c r="O49" s="89"/>
      <c r="P49" s="89"/>
      <c r="Q49" s="89"/>
      <c r="R49" s="89"/>
      <c r="S49" s="89"/>
      <c r="T49" s="89"/>
      <c r="U49" s="89"/>
      <c r="V49" s="89"/>
      <c r="W49" s="89"/>
      <c r="X49" s="89"/>
      <c r="Y49" s="89"/>
    </row>
    <row r="50" spans="1:25" ht="15.75" customHeight="1">
      <c r="A50" s="89"/>
      <c r="B50" s="89"/>
      <c r="C50" s="89"/>
      <c r="D50" s="89"/>
      <c r="E50" s="89"/>
      <c r="F50" s="89"/>
      <c r="G50" s="89"/>
      <c r="H50" s="89"/>
      <c r="I50" s="89"/>
      <c r="J50" s="89"/>
      <c r="K50" s="89"/>
      <c r="L50" s="89"/>
      <c r="M50" s="89"/>
      <c r="N50" s="89"/>
      <c r="O50" s="89"/>
      <c r="P50" s="89"/>
      <c r="Q50" s="89"/>
      <c r="R50" s="89"/>
      <c r="S50" s="89"/>
      <c r="T50" s="89"/>
      <c r="U50" s="89"/>
      <c r="V50" s="89"/>
      <c r="W50" s="89"/>
      <c r="X50" s="89"/>
      <c r="Y50" s="89"/>
    </row>
    <row r="51" spans="1:25" ht="15.75" customHeight="1">
      <c r="A51" s="89"/>
      <c r="B51" s="89"/>
      <c r="C51" s="89"/>
      <c r="D51" s="89"/>
      <c r="E51" s="89"/>
      <c r="F51" s="89"/>
      <c r="G51" s="89"/>
      <c r="H51" s="89"/>
      <c r="I51" s="89"/>
      <c r="J51" s="89"/>
      <c r="K51" s="89"/>
      <c r="L51" s="89"/>
      <c r="M51" s="89"/>
      <c r="N51" s="89"/>
      <c r="O51" s="89"/>
      <c r="P51" s="89"/>
      <c r="Q51" s="89"/>
      <c r="R51" s="89"/>
      <c r="S51" s="89"/>
      <c r="T51" s="89"/>
      <c r="U51" s="89"/>
      <c r="V51" s="89"/>
      <c r="W51" s="89"/>
      <c r="X51" s="89"/>
      <c r="Y51" s="89"/>
    </row>
    <row r="52" spans="1:25" ht="15.75" customHeight="1">
      <c r="A52" s="89"/>
      <c r="B52" s="89"/>
      <c r="C52" s="89"/>
      <c r="D52" s="89"/>
      <c r="E52" s="89"/>
      <c r="F52" s="89"/>
      <c r="G52" s="89"/>
      <c r="H52" s="89"/>
      <c r="I52" s="89"/>
      <c r="J52" s="89"/>
      <c r="K52" s="89"/>
      <c r="L52" s="89"/>
      <c r="M52" s="89"/>
      <c r="N52" s="89"/>
      <c r="O52" s="89"/>
      <c r="P52" s="89"/>
      <c r="Q52" s="89"/>
      <c r="R52" s="89"/>
      <c r="S52" s="89"/>
      <c r="T52" s="89"/>
      <c r="U52" s="89"/>
      <c r="V52" s="89"/>
      <c r="W52" s="89"/>
      <c r="X52" s="89"/>
      <c r="Y52" s="89"/>
    </row>
    <row r="53" spans="1:25" ht="15.75" customHeight="1">
      <c r="A53" s="89"/>
      <c r="B53" s="89"/>
      <c r="C53" s="89"/>
      <c r="D53" s="89"/>
      <c r="E53" s="89"/>
      <c r="F53" s="89"/>
      <c r="G53" s="89"/>
      <c r="H53" s="89"/>
      <c r="I53" s="89"/>
      <c r="J53" s="89"/>
      <c r="K53" s="89"/>
      <c r="L53" s="89"/>
      <c r="M53" s="89"/>
      <c r="N53" s="89"/>
      <c r="O53" s="89"/>
      <c r="P53" s="89"/>
      <c r="Q53" s="89"/>
      <c r="R53" s="89"/>
      <c r="S53" s="89"/>
      <c r="T53" s="89"/>
      <c r="U53" s="89"/>
      <c r="V53" s="89"/>
      <c r="W53" s="89"/>
      <c r="X53" s="89"/>
      <c r="Y53" s="89"/>
    </row>
    <row r="54" spans="1:25" ht="15.75" customHeight="1">
      <c r="A54" s="89"/>
      <c r="B54" s="89"/>
      <c r="C54" s="89"/>
      <c r="D54" s="89"/>
      <c r="E54" s="89"/>
      <c r="F54" s="89"/>
      <c r="G54" s="89"/>
      <c r="H54" s="89"/>
      <c r="I54" s="89"/>
      <c r="J54" s="89"/>
      <c r="K54" s="89"/>
      <c r="L54" s="89"/>
      <c r="M54" s="89"/>
      <c r="N54" s="89"/>
      <c r="O54" s="89"/>
      <c r="P54" s="89"/>
      <c r="Q54" s="89"/>
      <c r="R54" s="89"/>
      <c r="S54" s="89"/>
      <c r="T54" s="89"/>
      <c r="U54" s="89"/>
      <c r="V54" s="89"/>
      <c r="W54" s="89"/>
      <c r="X54" s="89"/>
      <c r="Y54" s="89"/>
    </row>
    <row r="55" spans="1:25" ht="15.75" customHeight="1">
      <c r="A55" s="89"/>
      <c r="B55" s="89"/>
      <c r="C55" s="89"/>
      <c r="D55" s="89"/>
      <c r="E55" s="89"/>
      <c r="F55" s="89"/>
      <c r="G55" s="89"/>
      <c r="H55" s="89"/>
      <c r="I55" s="89"/>
      <c r="J55" s="89"/>
      <c r="K55" s="89"/>
      <c r="L55" s="89"/>
      <c r="M55" s="89"/>
      <c r="N55" s="89"/>
      <c r="O55" s="89"/>
      <c r="P55" s="89"/>
      <c r="Q55" s="89"/>
      <c r="R55" s="89"/>
      <c r="S55" s="89"/>
      <c r="T55" s="89"/>
      <c r="U55" s="89"/>
      <c r="V55" s="89"/>
      <c r="W55" s="89"/>
      <c r="X55" s="89"/>
      <c r="Y55" s="89"/>
    </row>
    <row r="56" spans="1:25" ht="15.75" customHeight="1">
      <c r="A56" s="89"/>
      <c r="B56" s="89"/>
      <c r="C56" s="89"/>
      <c r="D56" s="89"/>
      <c r="E56" s="89"/>
      <c r="F56" s="89"/>
      <c r="G56" s="89"/>
      <c r="H56" s="89"/>
      <c r="I56" s="89"/>
      <c r="J56" s="89"/>
      <c r="K56" s="89"/>
      <c r="L56" s="89"/>
      <c r="M56" s="89"/>
      <c r="N56" s="89"/>
      <c r="O56" s="89"/>
      <c r="P56" s="89"/>
      <c r="Q56" s="89"/>
      <c r="R56" s="89"/>
      <c r="S56" s="89"/>
      <c r="T56" s="89"/>
      <c r="U56" s="89"/>
      <c r="V56" s="89"/>
      <c r="W56" s="89"/>
      <c r="X56" s="89"/>
      <c r="Y56" s="89"/>
    </row>
    <row r="57" spans="1:25" ht="15.75" customHeight="1">
      <c r="A57" s="89"/>
      <c r="B57" s="89"/>
      <c r="C57" s="89"/>
      <c r="D57" s="89"/>
      <c r="E57" s="89"/>
      <c r="F57" s="89"/>
      <c r="G57" s="89"/>
      <c r="H57" s="89"/>
      <c r="I57" s="89"/>
      <c r="J57" s="89"/>
      <c r="K57" s="89"/>
      <c r="L57" s="89"/>
      <c r="M57" s="89"/>
      <c r="N57" s="89"/>
      <c r="O57" s="89"/>
      <c r="P57" s="89"/>
      <c r="Q57" s="89"/>
      <c r="R57" s="89"/>
      <c r="S57" s="89"/>
      <c r="T57" s="89"/>
      <c r="U57" s="89"/>
      <c r="V57" s="89"/>
      <c r="W57" s="89"/>
      <c r="X57" s="89"/>
      <c r="Y57" s="89"/>
    </row>
    <row r="58" spans="1:25" ht="15.75" customHeight="1">
      <c r="A58" s="89"/>
      <c r="B58" s="89"/>
      <c r="C58" s="89"/>
      <c r="D58" s="89"/>
      <c r="E58" s="89"/>
      <c r="F58" s="89"/>
      <c r="G58" s="89"/>
      <c r="H58" s="89"/>
      <c r="I58" s="89"/>
      <c r="J58" s="89"/>
      <c r="K58" s="89"/>
      <c r="L58" s="89"/>
      <c r="M58" s="89"/>
      <c r="N58" s="89"/>
      <c r="O58" s="89"/>
      <c r="P58" s="89"/>
      <c r="Q58" s="89"/>
      <c r="R58" s="89"/>
      <c r="S58" s="89"/>
      <c r="T58" s="89"/>
      <c r="U58" s="89"/>
      <c r="V58" s="89"/>
      <c r="W58" s="89"/>
      <c r="X58" s="89"/>
      <c r="Y58" s="89"/>
    </row>
    <row r="59" spans="1:25" ht="15.75" customHeight="1">
      <c r="A59" s="89"/>
      <c r="B59" s="89"/>
      <c r="C59" s="89"/>
      <c r="D59" s="89"/>
      <c r="E59" s="89"/>
      <c r="F59" s="89"/>
      <c r="G59" s="89"/>
      <c r="H59" s="89"/>
      <c r="I59" s="89"/>
      <c r="J59" s="89"/>
      <c r="K59" s="89"/>
      <c r="L59" s="89"/>
      <c r="M59" s="89"/>
      <c r="N59" s="89"/>
      <c r="O59" s="89"/>
      <c r="P59" s="89"/>
      <c r="Q59" s="89"/>
      <c r="R59" s="89"/>
      <c r="S59" s="89"/>
      <c r="T59" s="89"/>
      <c r="U59" s="89"/>
      <c r="V59" s="89"/>
      <c r="W59" s="89"/>
      <c r="X59" s="89"/>
      <c r="Y59" s="89"/>
    </row>
    <row r="60" spans="1:25" ht="15.75" customHeight="1">
      <c r="A60" s="89"/>
      <c r="B60" s="89"/>
      <c r="C60" s="89"/>
      <c r="D60" s="89"/>
      <c r="E60" s="89"/>
      <c r="F60" s="89"/>
      <c r="G60" s="89"/>
      <c r="H60" s="89"/>
      <c r="I60" s="89"/>
      <c r="J60" s="89"/>
      <c r="K60" s="89"/>
      <c r="L60" s="89"/>
      <c r="M60" s="89"/>
      <c r="N60" s="89"/>
      <c r="O60" s="89"/>
      <c r="P60" s="89"/>
      <c r="Q60" s="89"/>
      <c r="R60" s="89"/>
      <c r="S60" s="89"/>
      <c r="T60" s="89"/>
      <c r="U60" s="89"/>
      <c r="V60" s="89"/>
      <c r="W60" s="89"/>
      <c r="X60" s="89"/>
      <c r="Y60" s="89"/>
    </row>
    <row r="61" spans="1:25" ht="15.75" customHeight="1">
      <c r="A61" s="89"/>
      <c r="B61" s="89"/>
      <c r="C61" s="89"/>
      <c r="D61" s="89"/>
      <c r="E61" s="89"/>
      <c r="F61" s="89"/>
      <c r="G61" s="89"/>
      <c r="H61" s="89"/>
      <c r="I61" s="89"/>
      <c r="J61" s="89"/>
      <c r="K61" s="89"/>
      <c r="L61" s="89"/>
      <c r="M61" s="89"/>
      <c r="N61" s="89"/>
      <c r="O61" s="89"/>
      <c r="P61" s="89"/>
      <c r="Q61" s="89"/>
      <c r="R61" s="89"/>
      <c r="S61" s="89"/>
      <c r="T61" s="89"/>
      <c r="U61" s="89"/>
      <c r="V61" s="89"/>
      <c r="W61" s="89"/>
      <c r="X61" s="89"/>
      <c r="Y61" s="89"/>
    </row>
    <row r="62" spans="1:25" ht="15.75" customHeight="1">
      <c r="A62" s="89"/>
      <c r="B62" s="89"/>
      <c r="C62" s="89"/>
      <c r="D62" s="89"/>
      <c r="E62" s="89"/>
      <c r="F62" s="89"/>
      <c r="G62" s="89"/>
      <c r="H62" s="89"/>
      <c r="I62" s="89"/>
      <c r="J62" s="89"/>
      <c r="K62" s="89"/>
      <c r="L62" s="89"/>
      <c r="M62" s="89"/>
      <c r="N62" s="89"/>
      <c r="O62" s="89"/>
      <c r="P62" s="89"/>
      <c r="Q62" s="89"/>
      <c r="R62" s="89"/>
      <c r="S62" s="89"/>
      <c r="T62" s="89"/>
      <c r="U62" s="89"/>
      <c r="V62" s="89"/>
      <c r="W62" s="89"/>
      <c r="X62" s="89"/>
      <c r="Y62" s="89"/>
    </row>
    <row r="63" spans="1:25" ht="15.75" customHeight="1">
      <c r="A63" s="89"/>
      <c r="B63" s="89"/>
      <c r="C63" s="89"/>
      <c r="D63" s="89"/>
      <c r="E63" s="89"/>
      <c r="F63" s="89"/>
      <c r="G63" s="89"/>
      <c r="H63" s="89"/>
      <c r="I63" s="89"/>
      <c r="J63" s="89"/>
      <c r="K63" s="89"/>
      <c r="L63" s="89"/>
      <c r="M63" s="89"/>
      <c r="N63" s="89"/>
      <c r="O63" s="89"/>
      <c r="P63" s="89"/>
      <c r="Q63" s="89"/>
      <c r="R63" s="89"/>
      <c r="S63" s="89"/>
      <c r="T63" s="89"/>
      <c r="U63" s="89"/>
      <c r="V63" s="89"/>
      <c r="W63" s="89"/>
      <c r="X63" s="89"/>
      <c r="Y63" s="89"/>
    </row>
    <row r="64" spans="1:25" ht="15.75" customHeight="1">
      <c r="A64" s="89"/>
      <c r="B64" s="89"/>
      <c r="C64" s="89"/>
      <c r="D64" s="89"/>
      <c r="E64" s="89"/>
      <c r="F64" s="89"/>
      <c r="G64" s="89"/>
      <c r="H64" s="89"/>
      <c r="I64" s="89"/>
      <c r="J64" s="89"/>
      <c r="K64" s="89"/>
      <c r="L64" s="89"/>
      <c r="M64" s="89"/>
      <c r="N64" s="89"/>
      <c r="O64" s="89"/>
      <c r="P64" s="89"/>
      <c r="Q64" s="89"/>
      <c r="R64" s="89"/>
      <c r="S64" s="89"/>
      <c r="T64" s="89"/>
      <c r="U64" s="89"/>
      <c r="V64" s="89"/>
      <c r="W64" s="89"/>
      <c r="X64" s="89"/>
      <c r="Y64" s="89"/>
    </row>
    <row r="65" spans="1:25" ht="15.75" customHeight="1">
      <c r="A65" s="89"/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9"/>
      <c r="Q65" s="89"/>
      <c r="R65" s="89"/>
      <c r="S65" s="89"/>
      <c r="T65" s="89"/>
      <c r="U65" s="89"/>
      <c r="V65" s="89"/>
      <c r="W65" s="89"/>
      <c r="X65" s="89"/>
      <c r="Y65" s="89"/>
    </row>
    <row r="66" spans="1:25" ht="15.75" customHeight="1">
      <c r="A66" s="89"/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9"/>
      <c r="Q66" s="89"/>
      <c r="R66" s="89"/>
      <c r="S66" s="89"/>
      <c r="T66" s="89"/>
      <c r="U66" s="89"/>
      <c r="V66" s="89"/>
      <c r="W66" s="89"/>
      <c r="X66" s="89"/>
      <c r="Y66" s="89"/>
    </row>
    <row r="67" spans="1:25" ht="15.75" customHeight="1">
      <c r="A67" s="89"/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9"/>
      <c r="Q67" s="89"/>
      <c r="R67" s="89"/>
      <c r="S67" s="89"/>
      <c r="T67" s="89"/>
      <c r="U67" s="89"/>
      <c r="V67" s="89"/>
      <c r="W67" s="89"/>
      <c r="X67" s="89"/>
      <c r="Y67" s="89"/>
    </row>
    <row r="68" spans="1:25" ht="15.75" customHeight="1">
      <c r="A68" s="8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9"/>
      <c r="Q68" s="89"/>
      <c r="R68" s="89"/>
      <c r="S68" s="89"/>
      <c r="T68" s="89"/>
      <c r="U68" s="89"/>
      <c r="V68" s="89"/>
      <c r="W68" s="89"/>
      <c r="X68" s="89"/>
      <c r="Y68" s="89"/>
    </row>
    <row r="69" spans="1:25" ht="15.75" customHeight="1">
      <c r="A69" s="89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9"/>
      <c r="Q69" s="89"/>
      <c r="R69" s="89"/>
      <c r="S69" s="89"/>
      <c r="T69" s="89"/>
      <c r="U69" s="89"/>
      <c r="V69" s="89"/>
      <c r="W69" s="89"/>
      <c r="X69" s="89"/>
      <c r="Y69" s="89"/>
    </row>
    <row r="70" spans="1:25" ht="15.75" customHeight="1">
      <c r="A70" s="8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9"/>
      <c r="Q70" s="89"/>
      <c r="R70" s="89"/>
      <c r="S70" s="89"/>
      <c r="T70" s="89"/>
      <c r="U70" s="89"/>
      <c r="V70" s="89"/>
      <c r="W70" s="89"/>
      <c r="X70" s="89"/>
      <c r="Y70" s="89"/>
    </row>
    <row r="71" spans="1:25" ht="15.75" customHeight="1">
      <c r="A71" s="89"/>
      <c r="B71" s="89"/>
      <c r="C71" s="89"/>
      <c r="D71" s="89"/>
      <c r="E71" s="89"/>
      <c r="F71" s="89"/>
      <c r="G71" s="89"/>
      <c r="H71" s="89"/>
      <c r="I71" s="89"/>
      <c r="J71" s="89"/>
      <c r="K71" s="89"/>
      <c r="L71" s="89"/>
      <c r="M71" s="89"/>
      <c r="N71" s="89"/>
      <c r="O71" s="89"/>
      <c r="P71" s="89"/>
      <c r="Q71" s="89"/>
      <c r="R71" s="89"/>
      <c r="S71" s="89"/>
      <c r="T71" s="89"/>
      <c r="U71" s="89"/>
      <c r="V71" s="89"/>
      <c r="W71" s="89"/>
      <c r="X71" s="89"/>
      <c r="Y71" s="89"/>
    </row>
    <row r="72" spans="1:25" ht="15.75" customHeight="1">
      <c r="A72" s="89"/>
      <c r="B72" s="89"/>
      <c r="C72" s="89"/>
      <c r="D72" s="89"/>
      <c r="E72" s="89"/>
      <c r="F72" s="89"/>
      <c r="G72" s="89"/>
      <c r="H72" s="89"/>
      <c r="I72" s="89"/>
      <c r="J72" s="89"/>
      <c r="K72" s="89"/>
      <c r="L72" s="89"/>
      <c r="M72" s="89"/>
      <c r="N72" s="89"/>
      <c r="O72" s="89"/>
      <c r="P72" s="89"/>
      <c r="Q72" s="89"/>
      <c r="R72" s="89"/>
      <c r="S72" s="89"/>
      <c r="T72" s="89"/>
      <c r="U72" s="89"/>
      <c r="V72" s="89"/>
      <c r="W72" s="89"/>
      <c r="X72" s="89"/>
      <c r="Y72" s="89"/>
    </row>
    <row r="73" spans="1:25" ht="15.75" customHeight="1">
      <c r="A73" s="89"/>
      <c r="B73" s="89"/>
      <c r="C73" s="89"/>
      <c r="D73" s="89"/>
      <c r="E73" s="89"/>
      <c r="F73" s="89"/>
      <c r="G73" s="89"/>
      <c r="H73" s="89"/>
      <c r="I73" s="89"/>
      <c r="J73" s="89"/>
      <c r="K73" s="89"/>
      <c r="L73" s="89"/>
      <c r="M73" s="89"/>
      <c r="N73" s="89"/>
      <c r="O73" s="89"/>
      <c r="P73" s="89"/>
      <c r="Q73" s="89"/>
      <c r="R73" s="89"/>
      <c r="S73" s="89"/>
      <c r="T73" s="89"/>
      <c r="U73" s="89"/>
      <c r="V73" s="89"/>
      <c r="W73" s="89"/>
      <c r="X73" s="89"/>
      <c r="Y73" s="89"/>
    </row>
    <row r="74" spans="1:25" ht="15.75" customHeight="1">
      <c r="A74" s="89"/>
      <c r="B74" s="89"/>
      <c r="C74" s="89"/>
      <c r="D74" s="89"/>
      <c r="E74" s="89"/>
      <c r="F74" s="89"/>
      <c r="G74" s="89"/>
      <c r="H74" s="89"/>
      <c r="I74" s="89"/>
      <c r="J74" s="89"/>
      <c r="K74" s="89"/>
      <c r="L74" s="89"/>
      <c r="M74" s="89"/>
      <c r="N74" s="89"/>
      <c r="O74" s="89"/>
      <c r="P74" s="89"/>
      <c r="Q74" s="89"/>
      <c r="R74" s="89"/>
      <c r="S74" s="89"/>
      <c r="T74" s="89"/>
      <c r="U74" s="89"/>
      <c r="V74" s="89"/>
      <c r="W74" s="89"/>
      <c r="X74" s="89"/>
      <c r="Y74" s="89"/>
    </row>
    <row r="75" spans="1:25" ht="15.75" customHeight="1">
      <c r="A75" s="89"/>
      <c r="B75" s="89"/>
      <c r="C75" s="89"/>
      <c r="D75" s="89"/>
      <c r="E75" s="89"/>
      <c r="F75" s="89"/>
      <c r="G75" s="89"/>
      <c r="H75" s="89"/>
      <c r="I75" s="89"/>
      <c r="J75" s="89"/>
      <c r="K75" s="89"/>
      <c r="L75" s="89"/>
      <c r="M75" s="89"/>
      <c r="N75" s="89"/>
      <c r="O75" s="89"/>
      <c r="P75" s="89"/>
      <c r="Q75" s="89"/>
      <c r="R75" s="89"/>
      <c r="S75" s="89"/>
      <c r="T75" s="89"/>
      <c r="U75" s="89"/>
      <c r="V75" s="89"/>
      <c r="W75" s="89"/>
      <c r="X75" s="89"/>
      <c r="Y75" s="89"/>
    </row>
    <row r="76" spans="1:25" ht="15.75" customHeight="1">
      <c r="A76" s="89"/>
      <c r="B76" s="89"/>
      <c r="C76" s="89"/>
      <c r="D76" s="89"/>
      <c r="E76" s="89"/>
      <c r="F76" s="89"/>
      <c r="G76" s="89"/>
      <c r="H76" s="89"/>
      <c r="I76" s="89"/>
      <c r="J76" s="89"/>
      <c r="K76" s="89"/>
      <c r="L76" s="89"/>
      <c r="M76" s="89"/>
      <c r="N76" s="89"/>
      <c r="O76" s="89"/>
      <c r="P76" s="89"/>
      <c r="Q76" s="89"/>
      <c r="R76" s="89"/>
      <c r="S76" s="89"/>
      <c r="T76" s="89"/>
      <c r="U76" s="89"/>
      <c r="V76" s="89"/>
      <c r="W76" s="89"/>
      <c r="X76" s="89"/>
      <c r="Y76" s="89"/>
    </row>
    <row r="77" spans="1:25" ht="15.75" customHeight="1">
      <c r="A77" s="89"/>
      <c r="B77" s="89"/>
      <c r="C77" s="89"/>
      <c r="D77" s="89"/>
      <c r="E77" s="89"/>
      <c r="F77" s="89"/>
      <c r="G77" s="89"/>
      <c r="H77" s="89"/>
      <c r="I77" s="89"/>
      <c r="J77" s="89"/>
      <c r="K77" s="89"/>
      <c r="L77" s="89"/>
      <c r="M77" s="89"/>
      <c r="N77" s="89"/>
      <c r="O77" s="89"/>
      <c r="P77" s="89"/>
      <c r="Q77" s="89"/>
      <c r="R77" s="89"/>
      <c r="S77" s="89"/>
      <c r="T77" s="89"/>
      <c r="U77" s="89"/>
      <c r="V77" s="89"/>
      <c r="W77" s="89"/>
      <c r="X77" s="89"/>
      <c r="Y77" s="89"/>
    </row>
    <row r="78" spans="1:25" ht="15.75" customHeight="1">
      <c r="A78" s="89"/>
      <c r="B78" s="89"/>
      <c r="C78" s="89"/>
      <c r="D78" s="89"/>
      <c r="E78" s="89"/>
      <c r="F78" s="89"/>
      <c r="G78" s="89"/>
      <c r="H78" s="89"/>
      <c r="I78" s="89"/>
      <c r="J78" s="89"/>
      <c r="K78" s="89"/>
      <c r="L78" s="89"/>
      <c r="M78" s="89"/>
      <c r="N78" s="89"/>
      <c r="O78" s="89"/>
      <c r="P78" s="89"/>
      <c r="Q78" s="89"/>
      <c r="R78" s="89"/>
      <c r="S78" s="89"/>
      <c r="T78" s="89"/>
      <c r="U78" s="89"/>
      <c r="V78" s="89"/>
      <c r="W78" s="89"/>
      <c r="X78" s="89"/>
      <c r="Y78" s="89"/>
    </row>
    <row r="79" spans="1:25" ht="15.75" customHeight="1">
      <c r="A79" s="89"/>
      <c r="B79" s="89"/>
      <c r="C79" s="89"/>
      <c r="D79" s="89"/>
      <c r="E79" s="89"/>
      <c r="F79" s="89"/>
      <c r="G79" s="89"/>
      <c r="H79" s="89"/>
      <c r="I79" s="89"/>
      <c r="J79" s="89"/>
      <c r="K79" s="89"/>
      <c r="L79" s="89"/>
      <c r="M79" s="89"/>
      <c r="N79" s="89"/>
      <c r="O79" s="89"/>
      <c r="P79" s="89"/>
      <c r="Q79" s="89"/>
      <c r="R79" s="89"/>
      <c r="S79" s="89"/>
      <c r="T79" s="89"/>
      <c r="U79" s="89"/>
      <c r="V79" s="89"/>
      <c r="W79" s="89"/>
      <c r="X79" s="89"/>
      <c r="Y79" s="89"/>
    </row>
    <row r="80" spans="1:25" ht="15.75" customHeight="1">
      <c r="A80" s="89"/>
      <c r="B80" s="89"/>
      <c r="C80" s="89"/>
      <c r="D80" s="89"/>
      <c r="E80" s="89"/>
      <c r="F80" s="89"/>
      <c r="G80" s="89"/>
      <c r="H80" s="89"/>
      <c r="I80" s="89"/>
      <c r="J80" s="89"/>
      <c r="K80" s="89"/>
      <c r="L80" s="89"/>
      <c r="M80" s="89"/>
      <c r="N80" s="89"/>
      <c r="O80" s="89"/>
      <c r="P80" s="89"/>
      <c r="Q80" s="89"/>
      <c r="R80" s="89"/>
      <c r="S80" s="89"/>
      <c r="T80" s="89"/>
      <c r="U80" s="89"/>
      <c r="V80" s="89"/>
      <c r="W80" s="89"/>
      <c r="X80" s="89"/>
      <c r="Y80" s="89"/>
    </row>
    <row r="81" spans="1:25" ht="15.75" customHeight="1">
      <c r="A81" s="89"/>
      <c r="B81" s="89"/>
      <c r="C81" s="89"/>
      <c r="D81" s="89"/>
      <c r="E81" s="89"/>
      <c r="F81" s="89"/>
      <c r="G81" s="89"/>
      <c r="H81" s="89"/>
      <c r="I81" s="89"/>
      <c r="J81" s="89"/>
      <c r="K81" s="89"/>
      <c r="L81" s="89"/>
      <c r="M81" s="89"/>
      <c r="N81" s="89"/>
      <c r="O81" s="89"/>
      <c r="P81" s="89"/>
      <c r="Q81" s="89"/>
      <c r="R81" s="89"/>
      <c r="S81" s="89"/>
      <c r="T81" s="89"/>
      <c r="U81" s="89"/>
      <c r="V81" s="89"/>
      <c r="W81" s="89"/>
      <c r="X81" s="89"/>
      <c r="Y81" s="89"/>
    </row>
    <row r="82" spans="1:25" ht="15.75" customHeight="1">
      <c r="A82" s="89"/>
      <c r="B82" s="89"/>
      <c r="C82" s="89"/>
      <c r="D82" s="89"/>
      <c r="E82" s="89"/>
      <c r="F82" s="89"/>
      <c r="G82" s="89"/>
      <c r="H82" s="89"/>
      <c r="I82" s="89"/>
      <c r="J82" s="89"/>
      <c r="K82" s="89"/>
      <c r="L82" s="89"/>
      <c r="M82" s="89"/>
      <c r="N82" s="89"/>
      <c r="O82" s="89"/>
      <c r="P82" s="89"/>
      <c r="Q82" s="89"/>
      <c r="R82" s="89"/>
      <c r="S82" s="89"/>
      <c r="T82" s="89"/>
      <c r="U82" s="89"/>
      <c r="V82" s="89"/>
      <c r="W82" s="89"/>
      <c r="X82" s="89"/>
      <c r="Y82" s="89"/>
    </row>
    <row r="83" spans="1:25" ht="15.75" customHeight="1">
      <c r="A83" s="89"/>
      <c r="B83" s="89"/>
      <c r="C83" s="89"/>
      <c r="D83" s="89"/>
      <c r="E83" s="89"/>
      <c r="F83" s="89"/>
      <c r="G83" s="89"/>
      <c r="H83" s="89"/>
      <c r="I83" s="89"/>
      <c r="J83" s="89"/>
      <c r="K83" s="89"/>
      <c r="L83" s="89"/>
      <c r="M83" s="89"/>
      <c r="N83" s="89"/>
      <c r="O83" s="89"/>
      <c r="P83" s="89"/>
      <c r="Q83" s="89"/>
      <c r="R83" s="89"/>
      <c r="S83" s="89"/>
      <c r="T83" s="89"/>
      <c r="U83" s="89"/>
      <c r="V83" s="89"/>
      <c r="W83" s="89"/>
      <c r="X83" s="89"/>
      <c r="Y83" s="89"/>
    </row>
    <row r="84" spans="1:25" ht="15.75" customHeight="1">
      <c r="A84" s="89"/>
      <c r="B84" s="89"/>
      <c r="C84" s="89"/>
      <c r="D84" s="89"/>
      <c r="E84" s="89"/>
      <c r="F84" s="89"/>
      <c r="G84" s="89"/>
      <c r="H84" s="89"/>
      <c r="I84" s="89"/>
      <c r="J84" s="89"/>
      <c r="K84" s="89"/>
      <c r="L84" s="89"/>
      <c r="M84" s="89"/>
      <c r="N84" s="89"/>
      <c r="O84" s="89"/>
      <c r="P84" s="89"/>
      <c r="Q84" s="89"/>
      <c r="R84" s="89"/>
      <c r="S84" s="89"/>
      <c r="T84" s="89"/>
      <c r="U84" s="89"/>
      <c r="V84" s="89"/>
      <c r="W84" s="89"/>
      <c r="X84" s="89"/>
      <c r="Y84" s="89"/>
    </row>
    <row r="85" spans="1:25" ht="15.75" customHeight="1">
      <c r="A85" s="89"/>
      <c r="B85" s="89"/>
      <c r="C85" s="89"/>
      <c r="D85" s="89"/>
      <c r="E85" s="89"/>
      <c r="F85" s="89"/>
      <c r="G85" s="89"/>
      <c r="H85" s="89"/>
      <c r="I85" s="89"/>
      <c r="J85" s="89"/>
      <c r="K85" s="89"/>
      <c r="L85" s="89"/>
      <c r="M85" s="89"/>
      <c r="N85" s="89"/>
      <c r="O85" s="89"/>
      <c r="P85" s="89"/>
      <c r="Q85" s="89"/>
      <c r="R85" s="89"/>
      <c r="S85" s="89"/>
      <c r="T85" s="89"/>
      <c r="U85" s="89"/>
      <c r="V85" s="89"/>
      <c r="W85" s="89"/>
      <c r="X85" s="89"/>
      <c r="Y85" s="89"/>
    </row>
    <row r="86" spans="1:25" ht="15.75" customHeight="1">
      <c r="A86" s="89"/>
      <c r="B86" s="89"/>
      <c r="C86" s="89"/>
      <c r="D86" s="89"/>
      <c r="E86" s="89"/>
      <c r="F86" s="89"/>
      <c r="G86" s="89"/>
      <c r="H86" s="89"/>
      <c r="I86" s="89"/>
      <c r="J86" s="89"/>
      <c r="K86" s="89"/>
      <c r="L86" s="89"/>
      <c r="M86" s="89"/>
      <c r="N86" s="89"/>
      <c r="O86" s="89"/>
      <c r="P86" s="89"/>
      <c r="Q86" s="89"/>
      <c r="R86" s="89"/>
      <c r="S86" s="89"/>
      <c r="T86" s="89"/>
      <c r="U86" s="89"/>
      <c r="V86" s="89"/>
      <c r="W86" s="89"/>
      <c r="X86" s="89"/>
      <c r="Y86" s="89"/>
    </row>
    <row r="87" spans="1:25" ht="15.75" customHeight="1">
      <c r="A87" s="89"/>
      <c r="B87" s="89"/>
      <c r="C87" s="89"/>
      <c r="D87" s="89"/>
      <c r="E87" s="89"/>
      <c r="F87" s="89"/>
      <c r="G87" s="89"/>
      <c r="H87" s="89"/>
      <c r="I87" s="89"/>
      <c r="J87" s="89"/>
      <c r="K87" s="89"/>
      <c r="L87" s="89"/>
      <c r="M87" s="89"/>
      <c r="N87" s="89"/>
      <c r="O87" s="89"/>
      <c r="P87" s="89"/>
      <c r="Q87" s="89"/>
      <c r="R87" s="89"/>
      <c r="S87" s="89"/>
      <c r="T87" s="89"/>
      <c r="U87" s="89"/>
      <c r="V87" s="89"/>
      <c r="W87" s="89"/>
      <c r="X87" s="89"/>
      <c r="Y87" s="89"/>
    </row>
    <row r="88" spans="1:25" ht="15.75" customHeight="1">
      <c r="A88" s="89"/>
      <c r="B88" s="89"/>
      <c r="C88" s="89"/>
      <c r="D88" s="89"/>
      <c r="E88" s="89"/>
      <c r="F88" s="89"/>
      <c r="G88" s="89"/>
      <c r="H88" s="89"/>
      <c r="I88" s="89"/>
      <c r="J88" s="89"/>
      <c r="K88" s="89"/>
      <c r="L88" s="89"/>
      <c r="M88" s="89"/>
      <c r="N88" s="89"/>
      <c r="O88" s="89"/>
      <c r="P88" s="89"/>
      <c r="Q88" s="89"/>
      <c r="R88" s="89"/>
      <c r="S88" s="89"/>
      <c r="T88" s="89"/>
      <c r="U88" s="89"/>
      <c r="V88" s="89"/>
      <c r="W88" s="89"/>
      <c r="X88" s="89"/>
      <c r="Y88" s="89"/>
    </row>
    <row r="89" spans="1:25" ht="15.75" customHeight="1">
      <c r="A89" s="89"/>
      <c r="B89" s="89"/>
      <c r="C89" s="89"/>
      <c r="D89" s="89"/>
      <c r="E89" s="89"/>
      <c r="F89" s="89"/>
      <c r="G89" s="89"/>
      <c r="H89" s="89"/>
      <c r="I89" s="89"/>
      <c r="J89" s="89"/>
      <c r="K89" s="89"/>
      <c r="L89" s="89"/>
      <c r="M89" s="89"/>
      <c r="N89" s="89"/>
      <c r="O89" s="89"/>
      <c r="P89" s="89"/>
      <c r="Q89" s="89"/>
      <c r="R89" s="89"/>
      <c r="S89" s="89"/>
      <c r="T89" s="89"/>
      <c r="U89" s="89"/>
      <c r="V89" s="89"/>
      <c r="W89" s="89"/>
      <c r="X89" s="89"/>
      <c r="Y89" s="89"/>
    </row>
    <row r="90" spans="1:25" ht="15.75" customHeight="1">
      <c r="A90" s="89"/>
      <c r="B90" s="89"/>
      <c r="C90" s="89"/>
      <c r="D90" s="89"/>
      <c r="E90" s="89"/>
      <c r="F90" s="89"/>
      <c r="G90" s="89"/>
      <c r="H90" s="89"/>
      <c r="I90" s="89"/>
      <c r="J90" s="89"/>
      <c r="K90" s="89"/>
      <c r="L90" s="89"/>
      <c r="M90" s="89"/>
      <c r="N90" s="89"/>
      <c r="O90" s="89"/>
      <c r="P90" s="89"/>
      <c r="Q90" s="89"/>
      <c r="R90" s="89"/>
      <c r="S90" s="89"/>
      <c r="T90" s="89"/>
      <c r="U90" s="89"/>
      <c r="V90" s="89"/>
      <c r="W90" s="89"/>
      <c r="X90" s="89"/>
      <c r="Y90" s="89"/>
    </row>
    <row r="91" spans="1:25" ht="15.75" customHeight="1">
      <c r="A91" s="89"/>
      <c r="B91" s="89"/>
      <c r="C91" s="89"/>
      <c r="D91" s="89"/>
      <c r="E91" s="89"/>
      <c r="F91" s="89"/>
      <c r="G91" s="89"/>
      <c r="H91" s="89"/>
      <c r="I91" s="89"/>
      <c r="J91" s="89"/>
      <c r="K91" s="89"/>
      <c r="L91" s="89"/>
      <c r="M91" s="89"/>
      <c r="N91" s="89"/>
      <c r="O91" s="89"/>
      <c r="P91" s="89"/>
      <c r="Q91" s="89"/>
      <c r="R91" s="89"/>
      <c r="S91" s="89"/>
      <c r="T91" s="89"/>
      <c r="U91" s="89"/>
      <c r="V91" s="89"/>
      <c r="W91" s="89"/>
      <c r="X91" s="89"/>
      <c r="Y91" s="89"/>
    </row>
    <row r="92" spans="1:25" ht="15.75" customHeight="1">
      <c r="A92" s="89"/>
      <c r="B92" s="89"/>
      <c r="C92" s="89"/>
      <c r="D92" s="89"/>
      <c r="E92" s="89"/>
      <c r="F92" s="89"/>
      <c r="G92" s="89"/>
      <c r="H92" s="89"/>
      <c r="I92" s="89"/>
      <c r="J92" s="89"/>
      <c r="K92" s="89"/>
      <c r="L92" s="89"/>
      <c r="M92" s="89"/>
      <c r="N92" s="89"/>
      <c r="O92" s="89"/>
      <c r="P92" s="89"/>
      <c r="Q92" s="89"/>
      <c r="R92" s="89"/>
      <c r="S92" s="89"/>
      <c r="T92" s="89"/>
      <c r="U92" s="89"/>
      <c r="V92" s="89"/>
      <c r="W92" s="89"/>
      <c r="X92" s="89"/>
      <c r="Y92" s="89"/>
    </row>
    <row r="93" spans="1:25" ht="15.75" customHeight="1">
      <c r="A93" s="89"/>
      <c r="B93" s="89"/>
      <c r="C93" s="89"/>
      <c r="D93" s="89"/>
      <c r="E93" s="89"/>
      <c r="F93" s="89"/>
      <c r="G93" s="89"/>
      <c r="H93" s="89"/>
      <c r="I93" s="89"/>
      <c r="J93" s="89"/>
      <c r="K93" s="89"/>
      <c r="L93" s="89"/>
      <c r="M93" s="89"/>
      <c r="N93" s="89"/>
      <c r="O93" s="89"/>
      <c r="P93" s="89"/>
      <c r="Q93" s="89"/>
      <c r="R93" s="89"/>
      <c r="S93" s="89"/>
      <c r="T93" s="89"/>
      <c r="U93" s="89"/>
      <c r="V93" s="89"/>
      <c r="W93" s="89"/>
      <c r="X93" s="89"/>
      <c r="Y93" s="89"/>
    </row>
    <row r="94" spans="1:25" ht="15.75" customHeight="1">
      <c r="A94" s="89"/>
      <c r="B94" s="89"/>
      <c r="C94" s="89"/>
      <c r="D94" s="89"/>
      <c r="E94" s="89"/>
      <c r="F94" s="89"/>
      <c r="G94" s="89"/>
      <c r="H94" s="89"/>
      <c r="I94" s="89"/>
      <c r="J94" s="89"/>
      <c r="K94" s="89"/>
      <c r="L94" s="89"/>
      <c r="M94" s="89"/>
      <c r="N94" s="89"/>
      <c r="O94" s="89"/>
      <c r="P94" s="89"/>
      <c r="Q94" s="89"/>
      <c r="R94" s="89"/>
      <c r="S94" s="89"/>
      <c r="T94" s="89"/>
      <c r="U94" s="89"/>
      <c r="V94" s="89"/>
      <c r="W94" s="89"/>
      <c r="X94" s="89"/>
      <c r="Y94" s="89"/>
    </row>
    <row r="95" spans="1:25" ht="15.75" customHeight="1">
      <c r="A95" s="89"/>
      <c r="B95" s="89"/>
      <c r="C95" s="89"/>
      <c r="D95" s="89"/>
      <c r="E95" s="89"/>
      <c r="F95" s="89"/>
      <c r="G95" s="89"/>
      <c r="H95" s="89"/>
      <c r="I95" s="89"/>
      <c r="J95" s="89"/>
      <c r="K95" s="89"/>
      <c r="L95" s="89"/>
      <c r="M95" s="89"/>
      <c r="N95" s="89"/>
      <c r="O95" s="89"/>
      <c r="P95" s="89"/>
      <c r="Q95" s="89"/>
      <c r="R95" s="89"/>
      <c r="S95" s="89"/>
      <c r="T95" s="89"/>
      <c r="U95" s="89"/>
      <c r="V95" s="89"/>
      <c r="W95" s="89"/>
      <c r="X95" s="89"/>
      <c r="Y95" s="89"/>
    </row>
    <row r="96" spans="1:25" ht="15.75" customHeight="1">
      <c r="A96" s="89"/>
      <c r="B96" s="89"/>
      <c r="C96" s="89"/>
      <c r="D96" s="89"/>
      <c r="E96" s="89"/>
      <c r="F96" s="89"/>
      <c r="G96" s="89"/>
      <c r="H96" s="89"/>
      <c r="I96" s="89"/>
      <c r="J96" s="89"/>
      <c r="K96" s="89"/>
      <c r="L96" s="89"/>
      <c r="M96" s="89"/>
      <c r="N96" s="89"/>
      <c r="O96" s="89"/>
      <c r="P96" s="89"/>
      <c r="Q96" s="89"/>
      <c r="R96" s="89"/>
      <c r="S96" s="89"/>
      <c r="T96" s="89"/>
      <c r="U96" s="89"/>
      <c r="V96" s="89"/>
      <c r="W96" s="89"/>
      <c r="X96" s="89"/>
      <c r="Y96" s="89"/>
    </row>
    <row r="97" spans="1:25" ht="15.75" customHeight="1">
      <c r="A97" s="89"/>
      <c r="B97" s="89"/>
      <c r="C97" s="89"/>
      <c r="D97" s="89"/>
      <c r="E97" s="89"/>
      <c r="F97" s="89"/>
      <c r="G97" s="89"/>
      <c r="H97" s="89"/>
      <c r="I97" s="89"/>
      <c r="J97" s="89"/>
      <c r="K97" s="89"/>
      <c r="L97" s="89"/>
      <c r="M97" s="89"/>
      <c r="N97" s="89"/>
      <c r="O97" s="89"/>
      <c r="P97" s="89"/>
      <c r="Q97" s="89"/>
      <c r="R97" s="89"/>
      <c r="S97" s="89"/>
      <c r="T97" s="89"/>
      <c r="U97" s="89"/>
      <c r="V97" s="89"/>
      <c r="W97" s="89"/>
      <c r="X97" s="89"/>
      <c r="Y97" s="89"/>
    </row>
    <row r="98" spans="1:25" ht="15.75" customHeight="1">
      <c r="A98" s="89"/>
      <c r="B98" s="89"/>
      <c r="C98" s="89"/>
      <c r="D98" s="89"/>
      <c r="E98" s="89"/>
      <c r="F98" s="89"/>
      <c r="G98" s="89"/>
      <c r="H98" s="89"/>
      <c r="I98" s="89"/>
      <c r="J98" s="89"/>
      <c r="K98" s="89"/>
      <c r="L98" s="89"/>
      <c r="M98" s="89"/>
      <c r="N98" s="89"/>
      <c r="O98" s="89"/>
      <c r="P98" s="89"/>
      <c r="Q98" s="89"/>
      <c r="R98" s="89"/>
      <c r="S98" s="89"/>
      <c r="T98" s="89"/>
      <c r="U98" s="89"/>
      <c r="V98" s="89"/>
      <c r="W98" s="89"/>
      <c r="X98" s="89"/>
      <c r="Y98" s="89"/>
    </row>
    <row r="99" spans="1:25" ht="15.75" customHeight="1">
      <c r="A99" s="89"/>
      <c r="B99" s="89"/>
      <c r="C99" s="89"/>
      <c r="D99" s="89"/>
      <c r="E99" s="89"/>
      <c r="F99" s="89"/>
      <c r="G99" s="89"/>
      <c r="H99" s="89"/>
      <c r="I99" s="89"/>
      <c r="J99" s="89"/>
      <c r="K99" s="89"/>
      <c r="L99" s="89"/>
      <c r="M99" s="89"/>
      <c r="N99" s="89"/>
      <c r="O99" s="89"/>
      <c r="P99" s="89"/>
      <c r="Q99" s="89"/>
      <c r="R99" s="89"/>
      <c r="S99" s="89"/>
      <c r="T99" s="89"/>
      <c r="U99" s="89"/>
      <c r="V99" s="89"/>
      <c r="W99" s="89"/>
      <c r="X99" s="89"/>
      <c r="Y99" s="89"/>
    </row>
    <row r="100" spans="1:25" ht="15.75" customHeight="1">
      <c r="A100" s="89"/>
      <c r="B100" s="89"/>
      <c r="C100" s="89"/>
      <c r="D100" s="89"/>
      <c r="E100" s="89"/>
      <c r="F100" s="89"/>
      <c r="G100" s="89"/>
      <c r="H100" s="89"/>
      <c r="I100" s="89"/>
      <c r="J100" s="89"/>
      <c r="K100" s="89"/>
      <c r="L100" s="89"/>
      <c r="M100" s="89"/>
      <c r="N100" s="89"/>
      <c r="O100" s="89"/>
      <c r="P100" s="89"/>
      <c r="Q100" s="89"/>
      <c r="R100" s="89"/>
      <c r="S100" s="89"/>
      <c r="T100" s="89"/>
      <c r="U100" s="89"/>
      <c r="V100" s="89"/>
      <c r="W100" s="89"/>
      <c r="X100" s="89"/>
      <c r="Y100" s="89"/>
    </row>
    <row r="101" spans="1:25" ht="15.75" customHeight="1">
      <c r="A101" s="89"/>
      <c r="B101" s="89"/>
      <c r="C101" s="89"/>
      <c r="D101" s="89"/>
      <c r="E101" s="89"/>
      <c r="F101" s="89"/>
      <c r="G101" s="89"/>
      <c r="H101" s="89"/>
      <c r="I101" s="89"/>
      <c r="J101" s="89"/>
      <c r="K101" s="89"/>
      <c r="L101" s="89"/>
      <c r="M101" s="89"/>
      <c r="N101" s="89"/>
      <c r="O101" s="89"/>
      <c r="P101" s="89"/>
      <c r="Q101" s="89"/>
      <c r="R101" s="89"/>
      <c r="S101" s="89"/>
      <c r="T101" s="89"/>
      <c r="U101" s="89"/>
      <c r="V101" s="89"/>
      <c r="W101" s="89"/>
      <c r="X101" s="89"/>
      <c r="Y101" s="89"/>
    </row>
    <row r="102" spans="1:25" ht="15.75" customHeight="1">
      <c r="A102" s="89"/>
      <c r="B102" s="89"/>
      <c r="C102" s="89"/>
      <c r="D102" s="89"/>
      <c r="E102" s="89"/>
      <c r="F102" s="89"/>
      <c r="G102" s="89"/>
      <c r="H102" s="89"/>
      <c r="I102" s="89"/>
      <c r="J102" s="89"/>
      <c r="K102" s="89"/>
      <c r="L102" s="89"/>
      <c r="M102" s="89"/>
      <c r="N102" s="89"/>
      <c r="O102" s="89"/>
      <c r="P102" s="89"/>
      <c r="Q102" s="89"/>
      <c r="R102" s="89"/>
      <c r="S102" s="89"/>
      <c r="T102" s="89"/>
      <c r="U102" s="89"/>
      <c r="V102" s="89"/>
      <c r="W102" s="89"/>
      <c r="X102" s="89"/>
      <c r="Y102" s="89"/>
    </row>
    <row r="103" spans="1:25" ht="15.75" customHeight="1">
      <c r="A103" s="89"/>
      <c r="B103" s="89"/>
      <c r="C103" s="89"/>
      <c r="D103" s="89"/>
      <c r="E103" s="89"/>
      <c r="F103" s="89"/>
      <c r="G103" s="89"/>
      <c r="H103" s="89"/>
      <c r="I103" s="89"/>
      <c r="J103" s="89"/>
      <c r="K103" s="89"/>
      <c r="L103" s="89"/>
      <c r="M103" s="89"/>
      <c r="N103" s="89"/>
      <c r="O103" s="89"/>
      <c r="P103" s="89"/>
      <c r="Q103" s="89"/>
      <c r="R103" s="89"/>
      <c r="S103" s="89"/>
      <c r="T103" s="89"/>
      <c r="U103" s="89"/>
      <c r="V103" s="89"/>
      <c r="W103" s="89"/>
      <c r="X103" s="89"/>
      <c r="Y103" s="89"/>
    </row>
    <row r="104" spans="1:25" ht="15.75" customHeight="1">
      <c r="A104" s="89"/>
      <c r="B104" s="89"/>
      <c r="C104" s="89"/>
      <c r="D104" s="89"/>
      <c r="E104" s="89"/>
      <c r="F104" s="89"/>
      <c r="G104" s="89"/>
      <c r="H104" s="89"/>
      <c r="I104" s="89"/>
      <c r="J104" s="89"/>
      <c r="K104" s="89"/>
      <c r="L104" s="89"/>
      <c r="M104" s="89"/>
      <c r="N104" s="89"/>
      <c r="O104" s="89"/>
      <c r="P104" s="89"/>
      <c r="Q104" s="89"/>
      <c r="R104" s="89"/>
      <c r="S104" s="89"/>
      <c r="T104" s="89"/>
      <c r="U104" s="89"/>
      <c r="V104" s="89"/>
      <c r="W104" s="89"/>
      <c r="X104" s="89"/>
      <c r="Y104" s="89"/>
    </row>
    <row r="105" spans="1:25" ht="15.75" customHeight="1">
      <c r="A105" s="89"/>
      <c r="B105" s="89"/>
      <c r="C105" s="89"/>
      <c r="D105" s="89"/>
      <c r="E105" s="89"/>
      <c r="F105" s="89"/>
      <c r="G105" s="89"/>
      <c r="H105" s="89"/>
      <c r="I105" s="89"/>
      <c r="J105" s="89"/>
      <c r="K105" s="89"/>
      <c r="L105" s="89"/>
      <c r="M105" s="89"/>
      <c r="N105" s="89"/>
      <c r="O105" s="89"/>
      <c r="P105" s="89"/>
      <c r="Q105" s="89"/>
      <c r="R105" s="89"/>
      <c r="S105" s="89"/>
      <c r="T105" s="89"/>
      <c r="U105" s="89"/>
      <c r="V105" s="89"/>
      <c r="W105" s="89"/>
      <c r="X105" s="89"/>
      <c r="Y105" s="89"/>
    </row>
    <row r="106" spans="1:25" ht="15.75" customHeight="1">
      <c r="A106" s="89"/>
      <c r="B106" s="89"/>
      <c r="C106" s="89"/>
      <c r="D106" s="89"/>
      <c r="E106" s="89"/>
      <c r="F106" s="89"/>
      <c r="G106" s="89"/>
      <c r="H106" s="89"/>
      <c r="I106" s="89"/>
      <c r="J106" s="89"/>
      <c r="K106" s="89"/>
      <c r="L106" s="89"/>
      <c r="M106" s="89"/>
      <c r="N106" s="89"/>
      <c r="O106" s="89"/>
      <c r="P106" s="89"/>
      <c r="Q106" s="89"/>
      <c r="R106" s="89"/>
      <c r="S106" s="89"/>
      <c r="T106" s="89"/>
      <c r="U106" s="89"/>
      <c r="V106" s="89"/>
      <c r="W106" s="89"/>
      <c r="X106" s="89"/>
      <c r="Y106" s="89"/>
    </row>
    <row r="107" spans="1:25" ht="15.75" customHeight="1">
      <c r="A107" s="89"/>
      <c r="B107" s="89"/>
      <c r="C107" s="89"/>
      <c r="D107" s="89"/>
      <c r="E107" s="89"/>
      <c r="F107" s="89"/>
      <c r="G107" s="89"/>
      <c r="H107" s="89"/>
      <c r="I107" s="89"/>
      <c r="J107" s="89"/>
      <c r="K107" s="89"/>
      <c r="L107" s="89"/>
      <c r="M107" s="89"/>
      <c r="N107" s="89"/>
      <c r="O107" s="89"/>
      <c r="P107" s="89"/>
      <c r="Q107" s="89"/>
      <c r="R107" s="89"/>
      <c r="S107" s="89"/>
      <c r="T107" s="89"/>
      <c r="U107" s="89"/>
      <c r="V107" s="89"/>
      <c r="W107" s="89"/>
      <c r="X107" s="89"/>
      <c r="Y107" s="89"/>
    </row>
    <row r="108" spans="1:25" ht="15.75" customHeight="1">
      <c r="A108" s="89"/>
      <c r="B108" s="89"/>
      <c r="C108" s="89"/>
      <c r="D108" s="89"/>
      <c r="E108" s="89"/>
      <c r="F108" s="89"/>
      <c r="G108" s="89"/>
      <c r="H108" s="89"/>
      <c r="I108" s="89"/>
      <c r="J108" s="89"/>
      <c r="K108" s="89"/>
      <c r="L108" s="89"/>
      <c r="M108" s="89"/>
      <c r="N108" s="89"/>
      <c r="O108" s="89"/>
      <c r="P108" s="89"/>
      <c r="Q108" s="89"/>
      <c r="R108" s="89"/>
      <c r="S108" s="89"/>
      <c r="T108" s="89"/>
      <c r="U108" s="89"/>
      <c r="V108" s="89"/>
      <c r="W108" s="89"/>
      <c r="X108" s="89"/>
      <c r="Y108" s="89"/>
    </row>
    <row r="109" spans="1:25" ht="15.75" customHeight="1">
      <c r="A109" s="89"/>
      <c r="B109" s="89"/>
      <c r="C109" s="89"/>
      <c r="D109" s="89"/>
      <c r="E109" s="89"/>
      <c r="F109" s="89"/>
      <c r="G109" s="89"/>
      <c r="H109" s="89"/>
      <c r="I109" s="89"/>
      <c r="J109" s="89"/>
      <c r="K109" s="89"/>
      <c r="L109" s="89"/>
      <c r="M109" s="89"/>
      <c r="N109" s="89"/>
      <c r="O109" s="89"/>
      <c r="P109" s="89"/>
      <c r="Q109" s="89"/>
      <c r="R109" s="89"/>
      <c r="S109" s="89"/>
      <c r="T109" s="89"/>
      <c r="U109" s="89"/>
      <c r="V109" s="89"/>
      <c r="W109" s="89"/>
      <c r="X109" s="89"/>
      <c r="Y109" s="89"/>
    </row>
    <row r="110" spans="1:25" ht="15.75" customHeight="1">
      <c r="A110" s="89"/>
      <c r="B110" s="89"/>
      <c r="C110" s="89"/>
      <c r="D110" s="89"/>
      <c r="E110" s="89"/>
      <c r="F110" s="89"/>
      <c r="G110" s="89"/>
      <c r="H110" s="89"/>
      <c r="I110" s="89"/>
      <c r="J110" s="89"/>
      <c r="K110" s="89"/>
      <c r="L110" s="89"/>
      <c r="M110" s="89"/>
      <c r="N110" s="89"/>
      <c r="O110" s="89"/>
      <c r="P110" s="89"/>
      <c r="Q110" s="89"/>
      <c r="R110" s="89"/>
      <c r="S110" s="89"/>
      <c r="T110" s="89"/>
      <c r="U110" s="89"/>
      <c r="V110" s="89"/>
      <c r="W110" s="89"/>
      <c r="X110" s="89"/>
      <c r="Y110" s="89"/>
    </row>
    <row r="111" spans="1:25" ht="15.75" customHeight="1">
      <c r="A111" s="89"/>
      <c r="B111" s="89"/>
      <c r="C111" s="89"/>
      <c r="D111" s="89"/>
      <c r="E111" s="89"/>
      <c r="F111" s="89"/>
      <c r="G111" s="89"/>
      <c r="H111" s="89"/>
      <c r="I111" s="89"/>
      <c r="J111" s="89"/>
      <c r="K111" s="89"/>
      <c r="L111" s="89"/>
      <c r="M111" s="89"/>
      <c r="N111" s="89"/>
      <c r="O111" s="89"/>
      <c r="P111" s="89"/>
      <c r="Q111" s="89"/>
      <c r="R111" s="89"/>
      <c r="S111" s="89"/>
      <c r="T111" s="89"/>
      <c r="U111" s="89"/>
      <c r="V111" s="89"/>
      <c r="W111" s="89"/>
      <c r="X111" s="89"/>
      <c r="Y111" s="89"/>
    </row>
    <row r="112" spans="1:25" ht="15.75" customHeight="1">
      <c r="A112" s="89"/>
      <c r="B112" s="89"/>
      <c r="C112" s="89"/>
      <c r="D112" s="89"/>
      <c r="E112" s="89"/>
      <c r="F112" s="89"/>
      <c r="G112" s="89"/>
      <c r="H112" s="89"/>
      <c r="I112" s="89"/>
      <c r="J112" s="89"/>
      <c r="K112" s="89"/>
      <c r="L112" s="89"/>
      <c r="M112" s="89"/>
      <c r="N112" s="89"/>
      <c r="O112" s="89"/>
      <c r="P112" s="89"/>
      <c r="Q112" s="89"/>
      <c r="R112" s="89"/>
      <c r="S112" s="89"/>
      <c r="T112" s="89"/>
      <c r="U112" s="89"/>
      <c r="V112" s="89"/>
      <c r="W112" s="89"/>
      <c r="X112" s="89"/>
      <c r="Y112" s="89"/>
    </row>
    <row r="113" spans="1:25" ht="15.75" customHeight="1">
      <c r="A113" s="89"/>
      <c r="B113" s="89"/>
      <c r="C113" s="89"/>
      <c r="D113" s="89"/>
      <c r="E113" s="89"/>
      <c r="F113" s="89"/>
      <c r="G113" s="89"/>
      <c r="H113" s="89"/>
      <c r="I113" s="89"/>
      <c r="J113" s="89"/>
      <c r="K113" s="89"/>
      <c r="L113" s="89"/>
      <c r="M113" s="89"/>
      <c r="N113" s="89"/>
      <c r="O113" s="89"/>
      <c r="P113" s="89"/>
      <c r="Q113" s="89"/>
      <c r="R113" s="89"/>
      <c r="S113" s="89"/>
      <c r="T113" s="89"/>
      <c r="U113" s="89"/>
      <c r="V113" s="89"/>
      <c r="W113" s="89"/>
      <c r="X113" s="89"/>
      <c r="Y113" s="89"/>
    </row>
    <row r="114" spans="1:25" ht="15.75" customHeight="1">
      <c r="A114" s="89"/>
      <c r="B114" s="89"/>
      <c r="C114" s="89"/>
      <c r="D114" s="89"/>
      <c r="E114" s="89"/>
      <c r="F114" s="89"/>
      <c r="G114" s="89"/>
      <c r="H114" s="89"/>
      <c r="I114" s="89"/>
      <c r="J114" s="89"/>
      <c r="K114" s="89"/>
      <c r="L114" s="89"/>
      <c r="M114" s="89"/>
      <c r="N114" s="89"/>
      <c r="O114" s="89"/>
      <c r="P114" s="89"/>
      <c r="Q114" s="89"/>
      <c r="R114" s="89"/>
      <c r="S114" s="89"/>
      <c r="T114" s="89"/>
      <c r="U114" s="89"/>
      <c r="V114" s="89"/>
      <c r="W114" s="89"/>
      <c r="X114" s="89"/>
      <c r="Y114" s="89"/>
    </row>
    <row r="115" spans="1:25" ht="15.75" customHeight="1">
      <c r="A115" s="89"/>
      <c r="B115" s="89"/>
      <c r="C115" s="89"/>
      <c r="D115" s="89"/>
      <c r="E115" s="89"/>
      <c r="F115" s="89"/>
      <c r="G115" s="89"/>
      <c r="H115" s="89"/>
      <c r="I115" s="89"/>
      <c r="J115" s="89"/>
      <c r="K115" s="89"/>
      <c r="L115" s="89"/>
      <c r="M115" s="89"/>
      <c r="N115" s="89"/>
      <c r="O115" s="89"/>
      <c r="P115" s="89"/>
      <c r="Q115" s="89"/>
      <c r="R115" s="89"/>
      <c r="S115" s="89"/>
      <c r="T115" s="89"/>
      <c r="U115" s="89"/>
      <c r="V115" s="89"/>
      <c r="W115" s="89"/>
      <c r="X115" s="89"/>
      <c r="Y115" s="89"/>
    </row>
    <row r="116" spans="1:25" ht="15.75" customHeight="1">
      <c r="A116" s="89"/>
      <c r="B116" s="89"/>
      <c r="C116" s="89"/>
      <c r="D116" s="89"/>
      <c r="E116" s="89"/>
      <c r="F116" s="89"/>
      <c r="G116" s="89"/>
      <c r="H116" s="89"/>
      <c r="I116" s="89"/>
      <c r="J116" s="89"/>
      <c r="K116" s="89"/>
      <c r="L116" s="89"/>
      <c r="M116" s="89"/>
      <c r="N116" s="89"/>
      <c r="O116" s="89"/>
      <c r="P116" s="89"/>
      <c r="Q116" s="89"/>
      <c r="R116" s="89"/>
      <c r="S116" s="89"/>
      <c r="T116" s="89"/>
      <c r="U116" s="89"/>
      <c r="V116" s="89"/>
      <c r="W116" s="89"/>
      <c r="X116" s="89"/>
      <c r="Y116" s="89"/>
    </row>
    <row r="117" spans="1:25" ht="15.75" customHeight="1">
      <c r="A117" s="89"/>
      <c r="B117" s="89"/>
      <c r="C117" s="89"/>
      <c r="D117" s="89"/>
      <c r="E117" s="89"/>
      <c r="F117" s="89"/>
      <c r="G117" s="89"/>
      <c r="H117" s="89"/>
      <c r="I117" s="89"/>
      <c r="J117" s="89"/>
      <c r="K117" s="89"/>
      <c r="L117" s="89"/>
      <c r="M117" s="89"/>
      <c r="N117" s="89"/>
      <c r="O117" s="89"/>
      <c r="P117" s="89"/>
      <c r="Q117" s="89"/>
      <c r="R117" s="89"/>
      <c r="S117" s="89"/>
      <c r="T117" s="89"/>
      <c r="U117" s="89"/>
      <c r="V117" s="89"/>
      <c r="W117" s="89"/>
      <c r="X117" s="89"/>
      <c r="Y117" s="89"/>
    </row>
    <row r="118" spans="1:25" ht="15.75" customHeight="1">
      <c r="A118" s="89"/>
      <c r="B118" s="89"/>
      <c r="C118" s="89"/>
      <c r="D118" s="89"/>
      <c r="E118" s="89"/>
      <c r="F118" s="89"/>
      <c r="G118" s="89"/>
      <c r="H118" s="89"/>
      <c r="I118" s="89"/>
      <c r="J118" s="89"/>
      <c r="K118" s="89"/>
      <c r="L118" s="89"/>
      <c r="M118" s="89"/>
      <c r="N118" s="89"/>
      <c r="O118" s="89"/>
      <c r="P118" s="89"/>
      <c r="Q118" s="89"/>
      <c r="R118" s="89"/>
      <c r="S118" s="89"/>
      <c r="T118" s="89"/>
      <c r="U118" s="89"/>
      <c r="V118" s="89"/>
      <c r="W118" s="89"/>
      <c r="X118" s="89"/>
      <c r="Y118" s="89"/>
    </row>
    <row r="119" spans="1:25" ht="15.75" customHeight="1">
      <c r="A119" s="89"/>
      <c r="B119" s="89"/>
      <c r="C119" s="89"/>
      <c r="D119" s="89"/>
      <c r="E119" s="89"/>
      <c r="F119" s="89"/>
      <c r="G119" s="89"/>
      <c r="H119" s="89"/>
      <c r="I119" s="89"/>
      <c r="J119" s="89"/>
      <c r="K119" s="89"/>
      <c r="L119" s="89"/>
      <c r="M119" s="89"/>
      <c r="N119" s="89"/>
      <c r="O119" s="89"/>
      <c r="P119" s="89"/>
      <c r="Q119" s="89"/>
      <c r="R119" s="89"/>
      <c r="S119" s="89"/>
      <c r="T119" s="89"/>
      <c r="U119" s="89"/>
      <c r="V119" s="89"/>
      <c r="W119" s="89"/>
      <c r="X119" s="89"/>
      <c r="Y119" s="89"/>
    </row>
    <row r="120" spans="1:25" ht="15.75" customHeight="1">
      <c r="A120" s="89"/>
      <c r="B120" s="89"/>
      <c r="C120" s="89"/>
      <c r="D120" s="89"/>
      <c r="E120" s="89"/>
      <c r="F120" s="89"/>
      <c r="G120" s="89"/>
      <c r="H120" s="89"/>
      <c r="I120" s="89"/>
      <c r="J120" s="89"/>
      <c r="K120" s="89"/>
      <c r="L120" s="89"/>
      <c r="M120" s="89"/>
      <c r="N120" s="89"/>
      <c r="O120" s="89"/>
      <c r="P120" s="89"/>
      <c r="Q120" s="89"/>
      <c r="R120" s="89"/>
      <c r="S120" s="89"/>
      <c r="T120" s="89"/>
      <c r="U120" s="89"/>
      <c r="V120" s="89"/>
      <c r="W120" s="89"/>
      <c r="X120" s="89"/>
      <c r="Y120" s="89"/>
    </row>
    <row r="121" spans="1:25" ht="15.75" customHeight="1">
      <c r="A121" s="89"/>
      <c r="B121" s="89"/>
      <c r="C121" s="89"/>
      <c r="D121" s="89"/>
      <c r="E121" s="89"/>
      <c r="F121" s="89"/>
      <c r="G121" s="89"/>
      <c r="H121" s="89"/>
      <c r="I121" s="89"/>
      <c r="J121" s="89"/>
      <c r="K121" s="89"/>
      <c r="L121" s="89"/>
      <c r="M121" s="89"/>
      <c r="N121" s="89"/>
      <c r="O121" s="89"/>
      <c r="P121" s="89"/>
      <c r="Q121" s="89"/>
      <c r="R121" s="89"/>
      <c r="S121" s="89"/>
      <c r="T121" s="89"/>
      <c r="U121" s="89"/>
      <c r="V121" s="89"/>
      <c r="W121" s="89"/>
      <c r="X121" s="89"/>
      <c r="Y121" s="89"/>
    </row>
    <row r="122" spans="1:25" ht="15.75" customHeight="1">
      <c r="A122" s="89"/>
      <c r="B122" s="89"/>
      <c r="C122" s="89"/>
      <c r="D122" s="89"/>
      <c r="E122" s="89"/>
      <c r="F122" s="89"/>
      <c r="G122" s="89"/>
      <c r="H122" s="89"/>
      <c r="I122" s="89"/>
      <c r="J122" s="89"/>
      <c r="K122" s="89"/>
      <c r="L122" s="89"/>
      <c r="M122" s="89"/>
      <c r="N122" s="89"/>
      <c r="O122" s="89"/>
      <c r="P122" s="89"/>
      <c r="Q122" s="89"/>
      <c r="R122" s="89"/>
      <c r="S122" s="89"/>
      <c r="T122" s="89"/>
      <c r="U122" s="89"/>
      <c r="V122" s="89"/>
      <c r="W122" s="89"/>
      <c r="X122" s="89"/>
      <c r="Y122" s="89"/>
    </row>
    <row r="123" spans="1:25" ht="15.75" customHeight="1">
      <c r="A123" s="89"/>
      <c r="B123" s="89"/>
      <c r="C123" s="89"/>
      <c r="D123" s="89"/>
      <c r="E123" s="89"/>
      <c r="F123" s="89"/>
      <c r="G123" s="89"/>
      <c r="H123" s="89"/>
      <c r="I123" s="89"/>
      <c r="J123" s="89"/>
      <c r="K123" s="89"/>
      <c r="L123" s="89"/>
      <c r="M123" s="89"/>
      <c r="N123" s="89"/>
      <c r="O123" s="89"/>
      <c r="P123" s="89"/>
      <c r="Q123" s="89"/>
      <c r="R123" s="89"/>
      <c r="S123" s="89"/>
      <c r="T123" s="89"/>
      <c r="U123" s="89"/>
      <c r="V123" s="89"/>
      <c r="W123" s="89"/>
      <c r="X123" s="89"/>
      <c r="Y123" s="89"/>
    </row>
    <row r="124" spans="1:25" ht="15.75" customHeight="1">
      <c r="A124" s="89"/>
      <c r="B124" s="89"/>
      <c r="C124" s="89"/>
      <c r="D124" s="89"/>
      <c r="E124" s="89"/>
      <c r="F124" s="89"/>
      <c r="G124" s="89"/>
      <c r="H124" s="89"/>
      <c r="I124" s="89"/>
      <c r="J124" s="89"/>
      <c r="K124" s="89"/>
      <c r="L124" s="89"/>
      <c r="M124" s="89"/>
      <c r="N124" s="89"/>
      <c r="O124" s="89"/>
      <c r="P124" s="89"/>
      <c r="Q124" s="89"/>
      <c r="R124" s="89"/>
      <c r="S124" s="89"/>
      <c r="T124" s="89"/>
      <c r="U124" s="89"/>
      <c r="V124" s="89"/>
      <c r="W124" s="89"/>
      <c r="X124" s="89"/>
      <c r="Y124" s="89"/>
    </row>
    <row r="125" spans="1:25" ht="15.75" customHeight="1">
      <c r="A125" s="89"/>
      <c r="B125" s="89"/>
      <c r="C125" s="89"/>
      <c r="D125" s="89"/>
      <c r="E125" s="89"/>
      <c r="F125" s="89"/>
      <c r="G125" s="89"/>
      <c r="H125" s="89"/>
      <c r="I125" s="89"/>
      <c r="J125" s="89"/>
      <c r="K125" s="89"/>
      <c r="L125" s="89"/>
      <c r="M125" s="89"/>
      <c r="N125" s="89"/>
      <c r="O125" s="89"/>
      <c r="P125" s="89"/>
      <c r="Q125" s="89"/>
      <c r="R125" s="89"/>
      <c r="S125" s="89"/>
      <c r="T125" s="89"/>
      <c r="U125" s="89"/>
      <c r="V125" s="89"/>
      <c r="W125" s="89"/>
      <c r="X125" s="89"/>
      <c r="Y125" s="89"/>
    </row>
    <row r="126" spans="1:25" ht="15.75" customHeight="1">
      <c r="A126" s="89"/>
      <c r="B126" s="89"/>
      <c r="C126" s="89"/>
      <c r="D126" s="89"/>
      <c r="E126" s="89"/>
      <c r="F126" s="89"/>
      <c r="G126" s="89"/>
      <c r="H126" s="89"/>
      <c r="I126" s="89"/>
      <c r="J126" s="89"/>
      <c r="K126" s="89"/>
      <c r="L126" s="89"/>
      <c r="M126" s="89"/>
      <c r="N126" s="89"/>
      <c r="O126" s="89"/>
      <c r="P126" s="89"/>
      <c r="Q126" s="89"/>
      <c r="R126" s="89"/>
      <c r="S126" s="89"/>
      <c r="T126" s="89"/>
      <c r="U126" s="89"/>
      <c r="V126" s="89"/>
      <c r="W126" s="89"/>
      <c r="X126" s="89"/>
      <c r="Y126" s="89"/>
    </row>
    <row r="127" spans="1:25" ht="15.75" customHeight="1">
      <c r="A127" s="89"/>
      <c r="B127" s="89"/>
      <c r="C127" s="89"/>
      <c r="D127" s="89"/>
      <c r="E127" s="89"/>
      <c r="F127" s="89"/>
      <c r="G127" s="89"/>
      <c r="H127" s="89"/>
      <c r="I127" s="89"/>
      <c r="J127" s="89"/>
      <c r="K127" s="89"/>
      <c r="L127" s="89"/>
      <c r="M127" s="89"/>
      <c r="N127" s="89"/>
      <c r="O127" s="89"/>
      <c r="P127" s="89"/>
      <c r="Q127" s="89"/>
      <c r="R127" s="89"/>
      <c r="S127" s="89"/>
      <c r="T127" s="89"/>
      <c r="U127" s="89"/>
      <c r="V127" s="89"/>
      <c r="W127" s="89"/>
      <c r="X127" s="89"/>
      <c r="Y127" s="89"/>
    </row>
    <row r="128" spans="1:25" ht="15.75" customHeight="1">
      <c r="A128" s="89"/>
      <c r="B128" s="89"/>
      <c r="C128" s="89"/>
      <c r="D128" s="89"/>
      <c r="E128" s="89"/>
      <c r="F128" s="89"/>
      <c r="G128" s="89"/>
      <c r="H128" s="89"/>
      <c r="I128" s="89"/>
      <c r="J128" s="89"/>
      <c r="K128" s="89"/>
      <c r="L128" s="89"/>
      <c r="M128" s="89"/>
      <c r="N128" s="89"/>
      <c r="O128" s="89"/>
      <c r="P128" s="89"/>
      <c r="Q128" s="89"/>
      <c r="R128" s="89"/>
      <c r="S128" s="89"/>
      <c r="T128" s="89"/>
      <c r="U128" s="89"/>
      <c r="V128" s="89"/>
      <c r="W128" s="89"/>
      <c r="X128" s="89"/>
      <c r="Y128" s="89"/>
    </row>
    <row r="129" spans="1:25" ht="15.75" customHeight="1">
      <c r="A129" s="89"/>
      <c r="B129" s="89"/>
      <c r="C129" s="89"/>
      <c r="D129" s="89"/>
      <c r="E129" s="89"/>
      <c r="F129" s="89"/>
      <c r="G129" s="89"/>
      <c r="H129" s="89"/>
      <c r="I129" s="89"/>
      <c r="J129" s="89"/>
      <c r="K129" s="89"/>
      <c r="L129" s="89"/>
      <c r="M129" s="89"/>
      <c r="N129" s="89"/>
      <c r="O129" s="89"/>
      <c r="P129" s="89"/>
      <c r="Q129" s="89"/>
      <c r="R129" s="89"/>
      <c r="S129" s="89"/>
      <c r="T129" s="89"/>
      <c r="U129" s="89"/>
      <c r="V129" s="89"/>
      <c r="W129" s="89"/>
      <c r="X129" s="89"/>
      <c r="Y129" s="89"/>
    </row>
    <row r="130" spans="1:25" ht="15.75" customHeight="1">
      <c r="A130" s="89"/>
      <c r="B130" s="89"/>
      <c r="C130" s="89"/>
      <c r="D130" s="89"/>
      <c r="E130" s="89"/>
      <c r="F130" s="89"/>
      <c r="G130" s="89"/>
      <c r="H130" s="89"/>
      <c r="I130" s="89"/>
      <c r="J130" s="89"/>
      <c r="K130" s="89"/>
      <c r="L130" s="89"/>
      <c r="M130" s="89"/>
      <c r="N130" s="89"/>
      <c r="O130" s="89"/>
      <c r="P130" s="89"/>
      <c r="Q130" s="89"/>
      <c r="R130" s="89"/>
      <c r="S130" s="89"/>
      <c r="T130" s="89"/>
      <c r="U130" s="89"/>
      <c r="V130" s="89"/>
      <c r="W130" s="89"/>
      <c r="X130" s="89"/>
      <c r="Y130" s="89"/>
    </row>
    <row r="131" spans="1:25" ht="15.75" customHeight="1">
      <c r="A131" s="89"/>
      <c r="B131" s="89"/>
      <c r="C131" s="89"/>
      <c r="D131" s="89"/>
      <c r="E131" s="89"/>
      <c r="F131" s="89"/>
      <c r="G131" s="89"/>
      <c r="H131" s="89"/>
      <c r="I131" s="89"/>
      <c r="J131" s="89"/>
      <c r="K131" s="89"/>
      <c r="L131" s="89"/>
      <c r="M131" s="89"/>
      <c r="N131" s="89"/>
      <c r="O131" s="89"/>
      <c r="P131" s="89"/>
      <c r="Q131" s="89"/>
      <c r="R131" s="89"/>
      <c r="S131" s="89"/>
      <c r="T131" s="89"/>
      <c r="U131" s="89"/>
      <c r="V131" s="89"/>
      <c r="W131" s="89"/>
      <c r="X131" s="89"/>
      <c r="Y131" s="89"/>
    </row>
    <row r="132" spans="1:25" ht="15.75" customHeight="1">
      <c r="A132" s="89"/>
      <c r="B132" s="89"/>
      <c r="C132" s="89"/>
      <c r="D132" s="89"/>
      <c r="E132" s="89"/>
      <c r="F132" s="89"/>
      <c r="G132" s="89"/>
      <c r="H132" s="89"/>
      <c r="I132" s="89"/>
      <c r="J132" s="89"/>
      <c r="K132" s="89"/>
      <c r="L132" s="89"/>
      <c r="M132" s="89"/>
      <c r="N132" s="89"/>
      <c r="O132" s="89"/>
      <c r="P132" s="89"/>
      <c r="Q132" s="89"/>
      <c r="R132" s="89"/>
      <c r="S132" s="89"/>
      <c r="T132" s="89"/>
      <c r="U132" s="89"/>
      <c r="V132" s="89"/>
      <c r="W132" s="89"/>
      <c r="X132" s="89"/>
      <c r="Y132" s="89"/>
    </row>
    <row r="133" spans="1:25" ht="15.75" customHeight="1">
      <c r="A133" s="89"/>
      <c r="B133" s="89"/>
      <c r="C133" s="89"/>
      <c r="D133" s="89"/>
      <c r="E133" s="89"/>
      <c r="F133" s="89"/>
      <c r="G133" s="89"/>
      <c r="H133" s="89"/>
      <c r="I133" s="89"/>
      <c r="J133" s="89"/>
      <c r="K133" s="89"/>
      <c r="L133" s="89"/>
      <c r="M133" s="89"/>
      <c r="N133" s="89"/>
      <c r="O133" s="89"/>
      <c r="P133" s="89"/>
      <c r="Q133" s="89"/>
      <c r="R133" s="89"/>
      <c r="S133" s="89"/>
      <c r="T133" s="89"/>
      <c r="U133" s="89"/>
      <c r="V133" s="89"/>
      <c r="W133" s="89"/>
      <c r="X133" s="89"/>
      <c r="Y133" s="89"/>
    </row>
    <row r="134" spans="1:25" ht="15.75" customHeight="1">
      <c r="A134" s="89"/>
      <c r="B134" s="89"/>
      <c r="C134" s="89"/>
      <c r="D134" s="89"/>
      <c r="E134" s="89"/>
      <c r="F134" s="89"/>
      <c r="G134" s="89"/>
      <c r="H134" s="89"/>
      <c r="I134" s="89"/>
      <c r="J134" s="89"/>
      <c r="K134" s="89"/>
      <c r="L134" s="89"/>
      <c r="M134" s="89"/>
      <c r="N134" s="89"/>
      <c r="O134" s="89"/>
      <c r="P134" s="89"/>
      <c r="Q134" s="89"/>
      <c r="R134" s="89"/>
      <c r="S134" s="89"/>
      <c r="T134" s="89"/>
      <c r="U134" s="89"/>
      <c r="V134" s="89"/>
      <c r="W134" s="89"/>
      <c r="X134" s="89"/>
      <c r="Y134" s="89"/>
    </row>
    <row r="135" spans="1:25" ht="15.75" customHeight="1">
      <c r="A135" s="89"/>
      <c r="B135" s="89"/>
      <c r="C135" s="89"/>
      <c r="D135" s="89"/>
      <c r="E135" s="89"/>
      <c r="F135" s="89"/>
      <c r="G135" s="89"/>
      <c r="H135" s="89"/>
      <c r="I135" s="89"/>
      <c r="J135" s="89"/>
      <c r="K135" s="89"/>
      <c r="L135" s="89"/>
      <c r="M135" s="89"/>
      <c r="N135" s="89"/>
      <c r="O135" s="89"/>
      <c r="P135" s="89"/>
      <c r="Q135" s="89"/>
      <c r="R135" s="89"/>
      <c r="S135" s="89"/>
      <c r="T135" s="89"/>
      <c r="U135" s="89"/>
      <c r="V135" s="89"/>
      <c r="W135" s="89"/>
      <c r="X135" s="89"/>
      <c r="Y135" s="89"/>
    </row>
    <row r="136" spans="1:25" ht="15.75" customHeight="1">
      <c r="A136" s="89"/>
      <c r="B136" s="89"/>
      <c r="C136" s="89"/>
      <c r="D136" s="89"/>
      <c r="E136" s="89"/>
      <c r="F136" s="89"/>
      <c r="G136" s="89"/>
      <c r="H136" s="89"/>
      <c r="I136" s="89"/>
      <c r="J136" s="89"/>
      <c r="K136" s="89"/>
      <c r="L136" s="89"/>
      <c r="M136" s="89"/>
      <c r="N136" s="89"/>
      <c r="O136" s="89"/>
      <c r="P136" s="89"/>
      <c r="Q136" s="89"/>
      <c r="R136" s="89"/>
      <c r="S136" s="89"/>
      <c r="T136" s="89"/>
      <c r="U136" s="89"/>
      <c r="V136" s="89"/>
      <c r="W136" s="89"/>
      <c r="X136" s="89"/>
      <c r="Y136" s="89"/>
    </row>
    <row r="137" spans="1:25" ht="15.75" customHeight="1">
      <c r="A137" s="89"/>
      <c r="B137" s="89"/>
      <c r="C137" s="89"/>
      <c r="D137" s="89"/>
      <c r="E137" s="89"/>
      <c r="F137" s="89"/>
      <c r="G137" s="89"/>
      <c r="H137" s="89"/>
      <c r="I137" s="89"/>
      <c r="J137" s="89"/>
      <c r="K137" s="89"/>
      <c r="L137" s="89"/>
      <c r="M137" s="89"/>
      <c r="N137" s="89"/>
      <c r="O137" s="89"/>
      <c r="P137" s="89"/>
      <c r="Q137" s="89"/>
      <c r="R137" s="89"/>
      <c r="S137" s="89"/>
      <c r="T137" s="89"/>
      <c r="U137" s="89"/>
      <c r="V137" s="89"/>
      <c r="W137" s="89"/>
      <c r="X137" s="89"/>
      <c r="Y137" s="89"/>
    </row>
    <row r="138" spans="1:25" ht="15.75" customHeight="1">
      <c r="A138" s="89"/>
      <c r="B138" s="89"/>
      <c r="C138" s="89"/>
      <c r="D138" s="89"/>
      <c r="E138" s="89"/>
      <c r="F138" s="89"/>
      <c r="G138" s="89"/>
      <c r="H138" s="89"/>
      <c r="I138" s="89"/>
      <c r="J138" s="89"/>
      <c r="K138" s="89"/>
      <c r="L138" s="89"/>
      <c r="M138" s="89"/>
      <c r="N138" s="89"/>
      <c r="O138" s="89"/>
      <c r="P138" s="89"/>
      <c r="Q138" s="89"/>
      <c r="R138" s="89"/>
      <c r="S138" s="89"/>
      <c r="T138" s="89"/>
      <c r="U138" s="89"/>
      <c r="V138" s="89"/>
      <c r="W138" s="89"/>
      <c r="X138" s="89"/>
      <c r="Y138" s="89"/>
    </row>
    <row r="139" spans="1:25" ht="15.75" customHeight="1">
      <c r="A139" s="89"/>
      <c r="B139" s="89"/>
      <c r="C139" s="89"/>
      <c r="D139" s="89"/>
      <c r="E139" s="89"/>
      <c r="F139" s="89"/>
      <c r="G139" s="89"/>
      <c r="H139" s="89"/>
      <c r="I139" s="89"/>
      <c r="J139" s="89"/>
      <c r="K139" s="89"/>
      <c r="L139" s="89"/>
      <c r="M139" s="89"/>
      <c r="N139" s="89"/>
      <c r="O139" s="89"/>
      <c r="P139" s="89"/>
      <c r="Q139" s="89"/>
      <c r="R139" s="89"/>
      <c r="S139" s="89"/>
      <c r="T139" s="89"/>
      <c r="U139" s="89"/>
      <c r="V139" s="89"/>
      <c r="W139" s="89"/>
      <c r="X139" s="89"/>
      <c r="Y139" s="89"/>
    </row>
    <row r="140" spans="1:25" ht="15.75" customHeight="1">
      <c r="A140" s="89"/>
      <c r="B140" s="89"/>
      <c r="C140" s="89"/>
      <c r="D140" s="89"/>
      <c r="E140" s="89"/>
      <c r="F140" s="89"/>
      <c r="G140" s="89"/>
      <c r="H140" s="89"/>
      <c r="I140" s="89"/>
      <c r="J140" s="89"/>
      <c r="K140" s="89"/>
      <c r="L140" s="89"/>
      <c r="M140" s="89"/>
      <c r="N140" s="89"/>
      <c r="O140" s="89"/>
      <c r="P140" s="89"/>
      <c r="Q140" s="89"/>
      <c r="R140" s="89"/>
      <c r="S140" s="89"/>
      <c r="T140" s="89"/>
      <c r="U140" s="89"/>
      <c r="V140" s="89"/>
      <c r="W140" s="89"/>
      <c r="X140" s="89"/>
      <c r="Y140" s="89"/>
    </row>
    <row r="141" spans="1:25" ht="15.75" customHeight="1">
      <c r="A141" s="89"/>
      <c r="B141" s="89"/>
      <c r="C141" s="89"/>
      <c r="D141" s="89"/>
      <c r="E141" s="89"/>
      <c r="F141" s="89"/>
      <c r="G141" s="89"/>
      <c r="H141" s="89"/>
      <c r="I141" s="89"/>
      <c r="J141" s="89"/>
      <c r="K141" s="89"/>
      <c r="L141" s="89"/>
      <c r="M141" s="89"/>
      <c r="N141" s="89"/>
      <c r="O141" s="89"/>
      <c r="P141" s="89"/>
      <c r="Q141" s="89"/>
      <c r="R141" s="89"/>
      <c r="S141" s="89"/>
      <c r="T141" s="89"/>
      <c r="U141" s="89"/>
      <c r="V141" s="89"/>
      <c r="W141" s="89"/>
      <c r="X141" s="89"/>
      <c r="Y141" s="89"/>
    </row>
    <row r="142" spans="1:25" ht="15.75" customHeight="1">
      <c r="A142" s="89"/>
      <c r="B142" s="89"/>
      <c r="C142" s="89"/>
      <c r="D142" s="89"/>
      <c r="E142" s="89"/>
      <c r="F142" s="89"/>
      <c r="G142" s="89"/>
      <c r="H142" s="89"/>
      <c r="I142" s="89"/>
      <c r="J142" s="89"/>
      <c r="K142" s="89"/>
      <c r="L142" s="89"/>
      <c r="M142" s="89"/>
      <c r="N142" s="89"/>
      <c r="O142" s="89"/>
      <c r="P142" s="89"/>
      <c r="Q142" s="89"/>
      <c r="R142" s="89"/>
      <c r="S142" s="89"/>
      <c r="T142" s="89"/>
      <c r="U142" s="89"/>
      <c r="V142" s="89"/>
      <c r="W142" s="89"/>
      <c r="X142" s="89"/>
      <c r="Y142" s="89"/>
    </row>
    <row r="143" spans="1:25" ht="15.75" customHeight="1">
      <c r="A143" s="89"/>
      <c r="B143" s="89"/>
      <c r="C143" s="89"/>
      <c r="D143" s="89"/>
      <c r="E143" s="89"/>
      <c r="F143" s="89"/>
      <c r="G143" s="89"/>
      <c r="H143" s="89"/>
      <c r="I143" s="89"/>
      <c r="J143" s="89"/>
      <c r="K143" s="89"/>
      <c r="L143" s="89"/>
      <c r="M143" s="89"/>
      <c r="N143" s="89"/>
      <c r="O143" s="89"/>
      <c r="P143" s="89"/>
      <c r="Q143" s="89"/>
      <c r="R143" s="89"/>
      <c r="S143" s="89"/>
      <c r="T143" s="89"/>
      <c r="U143" s="89"/>
      <c r="V143" s="89"/>
      <c r="W143" s="89"/>
      <c r="X143" s="89"/>
      <c r="Y143" s="89"/>
    </row>
    <row r="144" spans="1:25" ht="15.75" customHeight="1">
      <c r="A144" s="89"/>
      <c r="B144" s="89"/>
      <c r="C144" s="89"/>
      <c r="D144" s="89"/>
      <c r="E144" s="89"/>
      <c r="F144" s="89"/>
      <c r="G144" s="89"/>
      <c r="H144" s="89"/>
      <c r="I144" s="89"/>
      <c r="J144" s="89"/>
      <c r="K144" s="89"/>
      <c r="L144" s="89"/>
      <c r="M144" s="89"/>
      <c r="N144" s="89"/>
      <c r="O144" s="89"/>
      <c r="P144" s="89"/>
      <c r="Q144" s="89"/>
      <c r="R144" s="89"/>
      <c r="S144" s="89"/>
      <c r="T144" s="89"/>
      <c r="U144" s="89"/>
      <c r="V144" s="89"/>
      <c r="W144" s="89"/>
      <c r="X144" s="89"/>
      <c r="Y144" s="89"/>
    </row>
    <row r="145" spans="1:25" ht="15.75" customHeight="1">
      <c r="A145" s="89"/>
      <c r="B145" s="89"/>
      <c r="C145" s="89"/>
      <c r="D145" s="89"/>
      <c r="E145" s="89"/>
      <c r="F145" s="89"/>
      <c r="G145" s="89"/>
      <c r="H145" s="89"/>
      <c r="I145" s="89"/>
      <c r="J145" s="89"/>
      <c r="K145" s="89"/>
      <c r="L145" s="89"/>
      <c r="M145" s="89"/>
      <c r="N145" s="89"/>
      <c r="O145" s="89"/>
      <c r="P145" s="89"/>
      <c r="Q145" s="89"/>
      <c r="R145" s="89"/>
      <c r="S145" s="89"/>
      <c r="T145" s="89"/>
      <c r="U145" s="89"/>
      <c r="V145" s="89"/>
      <c r="W145" s="89"/>
      <c r="X145" s="89"/>
      <c r="Y145" s="89"/>
    </row>
    <row r="146" spans="1:25" ht="15.75" customHeight="1">
      <c r="A146" s="89"/>
      <c r="B146" s="89"/>
      <c r="C146" s="89"/>
      <c r="D146" s="89"/>
      <c r="E146" s="89"/>
      <c r="F146" s="89"/>
      <c r="G146" s="89"/>
      <c r="H146" s="89"/>
      <c r="I146" s="89"/>
      <c r="J146" s="89"/>
      <c r="K146" s="89"/>
      <c r="L146" s="89"/>
      <c r="M146" s="89"/>
      <c r="N146" s="89"/>
      <c r="O146" s="89"/>
      <c r="P146" s="89"/>
      <c r="Q146" s="89"/>
      <c r="R146" s="89"/>
      <c r="S146" s="89"/>
      <c r="T146" s="89"/>
      <c r="U146" s="89"/>
      <c r="V146" s="89"/>
      <c r="W146" s="89"/>
      <c r="X146" s="89"/>
      <c r="Y146" s="89"/>
    </row>
    <row r="147" spans="1:25" ht="15.75" customHeight="1">
      <c r="A147" s="89"/>
      <c r="B147" s="89"/>
      <c r="C147" s="89"/>
      <c r="D147" s="89"/>
      <c r="E147" s="89"/>
      <c r="F147" s="89"/>
      <c r="G147" s="89"/>
      <c r="H147" s="89"/>
      <c r="I147" s="89"/>
      <c r="J147" s="89"/>
      <c r="K147" s="89"/>
      <c r="L147" s="89"/>
      <c r="M147" s="89"/>
      <c r="N147" s="89"/>
      <c r="O147" s="89"/>
      <c r="P147" s="89"/>
      <c r="Q147" s="89"/>
      <c r="R147" s="89"/>
      <c r="S147" s="89"/>
      <c r="T147" s="89"/>
      <c r="U147" s="89"/>
      <c r="V147" s="89"/>
      <c r="W147" s="89"/>
      <c r="X147" s="89"/>
      <c r="Y147" s="89"/>
    </row>
    <row r="148" spans="1:25" ht="15.75" customHeight="1">
      <c r="A148" s="89"/>
      <c r="B148" s="89"/>
      <c r="C148" s="89"/>
      <c r="D148" s="89"/>
      <c r="E148" s="89"/>
      <c r="F148" s="89"/>
      <c r="G148" s="89"/>
      <c r="H148" s="89"/>
      <c r="I148" s="89"/>
      <c r="J148" s="89"/>
      <c r="K148" s="89"/>
      <c r="L148" s="89"/>
      <c r="M148" s="89"/>
      <c r="N148" s="89"/>
      <c r="O148" s="89"/>
      <c r="P148" s="89"/>
      <c r="Q148" s="89"/>
      <c r="R148" s="89"/>
      <c r="S148" s="89"/>
      <c r="T148" s="89"/>
      <c r="U148" s="89"/>
      <c r="V148" s="89"/>
      <c r="W148" s="89"/>
      <c r="X148" s="89"/>
      <c r="Y148" s="89"/>
    </row>
    <row r="149" spans="1:25" ht="15.75" customHeight="1">
      <c r="A149" s="89"/>
      <c r="B149" s="89"/>
      <c r="C149" s="89"/>
      <c r="D149" s="89"/>
      <c r="E149" s="89"/>
      <c r="F149" s="89"/>
      <c r="G149" s="89"/>
      <c r="H149" s="89"/>
      <c r="I149" s="89"/>
      <c r="J149" s="89"/>
      <c r="K149" s="89"/>
      <c r="L149" s="89"/>
      <c r="M149" s="89"/>
      <c r="N149" s="89"/>
      <c r="O149" s="89"/>
      <c r="P149" s="89"/>
      <c r="Q149" s="89"/>
      <c r="R149" s="89"/>
      <c r="S149" s="89"/>
      <c r="T149" s="89"/>
      <c r="U149" s="89"/>
      <c r="V149" s="89"/>
      <c r="W149" s="89"/>
      <c r="X149" s="89"/>
      <c r="Y149" s="89"/>
    </row>
    <row r="150" spans="1:25" ht="15.75" customHeight="1">
      <c r="A150" s="89"/>
      <c r="B150" s="89"/>
      <c r="C150" s="89"/>
      <c r="D150" s="89"/>
      <c r="E150" s="89"/>
      <c r="F150" s="89"/>
      <c r="G150" s="89"/>
      <c r="H150" s="89"/>
      <c r="I150" s="89"/>
      <c r="J150" s="89"/>
      <c r="K150" s="89"/>
      <c r="L150" s="89"/>
      <c r="M150" s="89"/>
      <c r="N150" s="89"/>
      <c r="O150" s="89"/>
      <c r="P150" s="89"/>
      <c r="Q150" s="89"/>
      <c r="R150" s="89"/>
      <c r="S150" s="89"/>
      <c r="T150" s="89"/>
      <c r="U150" s="89"/>
      <c r="V150" s="89"/>
      <c r="W150" s="89"/>
      <c r="X150" s="89"/>
      <c r="Y150" s="89"/>
    </row>
    <row r="151" spans="1:25" ht="15.75" customHeight="1">
      <c r="A151" s="89"/>
      <c r="B151" s="89"/>
      <c r="C151" s="89"/>
      <c r="D151" s="89"/>
      <c r="E151" s="89"/>
      <c r="F151" s="89"/>
      <c r="G151" s="89"/>
      <c r="H151" s="89"/>
      <c r="I151" s="89"/>
      <c r="J151" s="89"/>
      <c r="K151" s="89"/>
      <c r="L151" s="89"/>
      <c r="M151" s="89"/>
      <c r="N151" s="89"/>
      <c r="O151" s="89"/>
      <c r="P151" s="89"/>
      <c r="Q151" s="89"/>
      <c r="R151" s="89"/>
      <c r="S151" s="89"/>
      <c r="T151" s="89"/>
      <c r="U151" s="89"/>
      <c r="V151" s="89"/>
      <c r="W151" s="89"/>
      <c r="X151" s="89"/>
      <c r="Y151" s="89"/>
    </row>
    <row r="152" spans="1:25" ht="15.75" customHeight="1">
      <c r="A152" s="89"/>
      <c r="B152" s="89"/>
      <c r="C152" s="89"/>
      <c r="D152" s="89"/>
      <c r="E152" s="89"/>
      <c r="F152" s="89"/>
      <c r="G152" s="89"/>
      <c r="H152" s="89"/>
      <c r="I152" s="89"/>
      <c r="J152" s="89"/>
      <c r="K152" s="89"/>
      <c r="L152" s="89"/>
      <c r="M152" s="89"/>
      <c r="N152" s="89"/>
      <c r="O152" s="89"/>
      <c r="P152" s="89"/>
      <c r="Q152" s="89"/>
      <c r="R152" s="89"/>
      <c r="S152" s="89"/>
      <c r="T152" s="89"/>
      <c r="U152" s="89"/>
      <c r="V152" s="89"/>
      <c r="W152" s="89"/>
      <c r="X152" s="89"/>
      <c r="Y152" s="89"/>
    </row>
    <row r="153" spans="1:25" ht="15.75" customHeight="1">
      <c r="A153" s="89"/>
      <c r="B153" s="89"/>
      <c r="C153" s="89"/>
      <c r="D153" s="89"/>
      <c r="E153" s="89"/>
      <c r="F153" s="89"/>
      <c r="G153" s="89"/>
      <c r="H153" s="89"/>
      <c r="I153" s="89"/>
      <c r="J153" s="89"/>
      <c r="K153" s="89"/>
      <c r="L153" s="89"/>
      <c r="M153" s="89"/>
      <c r="N153" s="89"/>
      <c r="O153" s="89"/>
      <c r="P153" s="89"/>
      <c r="Q153" s="89"/>
      <c r="R153" s="89"/>
      <c r="S153" s="89"/>
      <c r="T153" s="89"/>
      <c r="U153" s="89"/>
      <c r="V153" s="89"/>
      <c r="W153" s="89"/>
      <c r="X153" s="89"/>
      <c r="Y153" s="89"/>
    </row>
    <row r="154" spans="1:25" ht="15.75" customHeight="1">
      <c r="A154" s="89"/>
      <c r="B154" s="89"/>
      <c r="C154" s="89"/>
      <c r="D154" s="89"/>
      <c r="E154" s="89"/>
      <c r="F154" s="89"/>
      <c r="G154" s="89"/>
      <c r="H154" s="89"/>
      <c r="I154" s="89"/>
      <c r="J154" s="89"/>
      <c r="K154" s="89"/>
      <c r="L154" s="89"/>
      <c r="M154" s="89"/>
      <c r="N154" s="89"/>
      <c r="O154" s="89"/>
      <c r="P154" s="89"/>
      <c r="Q154" s="89"/>
      <c r="R154" s="89"/>
      <c r="S154" s="89"/>
      <c r="T154" s="89"/>
      <c r="U154" s="89"/>
      <c r="V154" s="89"/>
      <c r="W154" s="89"/>
      <c r="X154" s="89"/>
      <c r="Y154" s="89"/>
    </row>
    <row r="155" spans="1:25" ht="15.75" customHeight="1">
      <c r="A155" s="89"/>
      <c r="B155" s="89"/>
      <c r="C155" s="89"/>
      <c r="D155" s="89"/>
      <c r="E155" s="89"/>
      <c r="F155" s="89"/>
      <c r="G155" s="89"/>
      <c r="H155" s="89"/>
      <c r="I155" s="89"/>
      <c r="J155" s="89"/>
      <c r="K155" s="89"/>
      <c r="L155" s="89"/>
      <c r="M155" s="89"/>
      <c r="N155" s="89"/>
      <c r="O155" s="89"/>
      <c r="P155" s="89"/>
      <c r="Q155" s="89"/>
      <c r="R155" s="89"/>
      <c r="S155" s="89"/>
      <c r="T155" s="89"/>
      <c r="U155" s="89"/>
      <c r="V155" s="89"/>
      <c r="W155" s="89"/>
      <c r="X155" s="89"/>
      <c r="Y155" s="89"/>
    </row>
    <row r="156" spans="1:25" ht="15.75" customHeight="1">
      <c r="A156" s="89"/>
      <c r="B156" s="89"/>
      <c r="C156" s="89"/>
      <c r="D156" s="89"/>
      <c r="E156" s="89"/>
      <c r="F156" s="89"/>
      <c r="G156" s="89"/>
      <c r="H156" s="89"/>
      <c r="I156" s="89"/>
      <c r="J156" s="89"/>
      <c r="K156" s="89"/>
      <c r="L156" s="89"/>
      <c r="M156" s="89"/>
      <c r="N156" s="89"/>
      <c r="O156" s="89"/>
      <c r="P156" s="89"/>
      <c r="Q156" s="89"/>
      <c r="R156" s="89"/>
      <c r="S156" s="89"/>
      <c r="T156" s="89"/>
      <c r="U156" s="89"/>
      <c r="V156" s="89"/>
      <c r="W156" s="89"/>
      <c r="X156" s="89"/>
      <c r="Y156" s="89"/>
    </row>
    <row r="157" spans="1:25" ht="15.75" customHeight="1">
      <c r="A157" s="89"/>
      <c r="B157" s="89"/>
      <c r="C157" s="89"/>
      <c r="D157" s="89"/>
      <c r="E157" s="89"/>
      <c r="F157" s="89"/>
      <c r="G157" s="89"/>
      <c r="H157" s="89"/>
      <c r="I157" s="89"/>
      <c r="J157" s="89"/>
      <c r="K157" s="89"/>
      <c r="L157" s="89"/>
      <c r="M157" s="89"/>
      <c r="N157" s="89"/>
      <c r="O157" s="89"/>
      <c r="P157" s="89"/>
      <c r="Q157" s="89"/>
      <c r="R157" s="89"/>
      <c r="S157" s="89"/>
      <c r="T157" s="89"/>
      <c r="U157" s="89"/>
      <c r="V157" s="89"/>
      <c r="W157" s="89"/>
      <c r="X157" s="89"/>
      <c r="Y157" s="89"/>
    </row>
    <row r="158" spans="1:25" ht="15.75" customHeight="1">
      <c r="A158" s="89"/>
      <c r="B158" s="89"/>
      <c r="C158" s="89"/>
      <c r="D158" s="89"/>
      <c r="E158" s="89"/>
      <c r="F158" s="89"/>
      <c r="G158" s="89"/>
      <c r="H158" s="89"/>
      <c r="I158" s="89"/>
      <c r="J158" s="89"/>
      <c r="K158" s="89"/>
      <c r="L158" s="89"/>
      <c r="M158" s="89"/>
      <c r="N158" s="89"/>
      <c r="O158" s="89"/>
      <c r="P158" s="89"/>
      <c r="Q158" s="89"/>
      <c r="R158" s="89"/>
      <c r="S158" s="89"/>
      <c r="T158" s="89"/>
      <c r="U158" s="89"/>
      <c r="V158" s="89"/>
      <c r="W158" s="89"/>
      <c r="X158" s="89"/>
      <c r="Y158" s="89"/>
    </row>
    <row r="159" spans="1:25" ht="15.75" customHeight="1">
      <c r="A159" s="89"/>
      <c r="B159" s="89"/>
      <c r="C159" s="89"/>
      <c r="D159" s="89"/>
      <c r="E159" s="89"/>
      <c r="F159" s="89"/>
      <c r="G159" s="89"/>
      <c r="H159" s="89"/>
      <c r="I159" s="89"/>
      <c r="J159" s="89"/>
      <c r="K159" s="89"/>
      <c r="L159" s="89"/>
      <c r="M159" s="89"/>
      <c r="N159" s="89"/>
      <c r="O159" s="89"/>
      <c r="P159" s="89"/>
      <c r="Q159" s="89"/>
      <c r="R159" s="89"/>
      <c r="S159" s="89"/>
      <c r="T159" s="89"/>
      <c r="U159" s="89"/>
      <c r="V159" s="89"/>
      <c r="W159" s="89"/>
      <c r="X159" s="89"/>
      <c r="Y159" s="89"/>
    </row>
    <row r="160" spans="1:25" ht="15.75" customHeight="1">
      <c r="A160" s="89"/>
      <c r="B160" s="89"/>
      <c r="C160" s="89"/>
      <c r="D160" s="89"/>
      <c r="E160" s="89"/>
      <c r="F160" s="89"/>
      <c r="G160" s="89"/>
      <c r="H160" s="89"/>
      <c r="I160" s="89"/>
      <c r="J160" s="89"/>
      <c r="K160" s="89"/>
      <c r="L160" s="89"/>
      <c r="M160" s="89"/>
      <c r="N160" s="89"/>
      <c r="O160" s="89"/>
      <c r="P160" s="89"/>
      <c r="Q160" s="89"/>
      <c r="R160" s="89"/>
      <c r="S160" s="89"/>
      <c r="T160" s="89"/>
      <c r="U160" s="89"/>
      <c r="V160" s="89"/>
      <c r="W160" s="89"/>
      <c r="X160" s="89"/>
      <c r="Y160" s="89"/>
    </row>
    <row r="161" spans="1:25" ht="15.75" customHeight="1">
      <c r="A161" s="89"/>
      <c r="B161" s="89"/>
      <c r="C161" s="89"/>
      <c r="D161" s="89"/>
      <c r="E161" s="89"/>
      <c r="F161" s="89"/>
      <c r="G161" s="89"/>
      <c r="H161" s="89"/>
      <c r="I161" s="89"/>
      <c r="J161" s="89"/>
      <c r="K161" s="89"/>
      <c r="L161" s="89"/>
      <c r="M161" s="89"/>
      <c r="N161" s="89"/>
      <c r="O161" s="89"/>
      <c r="P161" s="89"/>
      <c r="Q161" s="89"/>
      <c r="R161" s="89"/>
      <c r="S161" s="89"/>
      <c r="T161" s="89"/>
      <c r="U161" s="89"/>
      <c r="V161" s="89"/>
      <c r="W161" s="89"/>
      <c r="X161" s="89"/>
      <c r="Y161" s="89"/>
    </row>
    <row r="162" spans="1:25" ht="15.75" customHeight="1">
      <c r="A162" s="89"/>
      <c r="B162" s="89"/>
      <c r="C162" s="89"/>
      <c r="D162" s="89"/>
      <c r="E162" s="89"/>
      <c r="F162" s="89"/>
      <c r="G162" s="89"/>
      <c r="H162" s="89"/>
      <c r="I162" s="89"/>
      <c r="J162" s="89"/>
      <c r="K162" s="89"/>
      <c r="L162" s="89"/>
      <c r="M162" s="89"/>
      <c r="N162" s="89"/>
      <c r="O162" s="89"/>
      <c r="P162" s="89"/>
      <c r="Q162" s="89"/>
      <c r="R162" s="89"/>
      <c r="S162" s="89"/>
      <c r="T162" s="89"/>
      <c r="U162" s="89"/>
      <c r="V162" s="89"/>
      <c r="W162" s="89"/>
      <c r="X162" s="89"/>
      <c r="Y162" s="89"/>
    </row>
    <row r="163" spans="1:25" ht="15.75" customHeight="1">
      <c r="A163" s="89"/>
      <c r="B163" s="89"/>
      <c r="C163" s="89"/>
      <c r="D163" s="89"/>
      <c r="E163" s="89"/>
      <c r="F163" s="89"/>
      <c r="G163" s="89"/>
      <c r="H163" s="89"/>
      <c r="I163" s="89"/>
      <c r="J163" s="89"/>
      <c r="K163" s="89"/>
      <c r="L163" s="89"/>
      <c r="M163" s="89"/>
      <c r="N163" s="89"/>
      <c r="O163" s="89"/>
      <c r="P163" s="89"/>
      <c r="Q163" s="89"/>
      <c r="R163" s="89"/>
      <c r="S163" s="89"/>
      <c r="T163" s="89"/>
      <c r="U163" s="89"/>
      <c r="V163" s="89"/>
      <c r="W163" s="89"/>
      <c r="X163" s="89"/>
      <c r="Y163" s="89"/>
    </row>
    <row r="164" spans="1:25" ht="15.75" customHeight="1">
      <c r="A164" s="89"/>
      <c r="B164" s="89"/>
      <c r="C164" s="89"/>
      <c r="D164" s="89"/>
      <c r="E164" s="89"/>
      <c r="F164" s="89"/>
      <c r="G164" s="89"/>
      <c r="H164" s="89"/>
      <c r="I164" s="89"/>
      <c r="J164" s="89"/>
      <c r="K164" s="89"/>
      <c r="L164" s="89"/>
      <c r="M164" s="89"/>
      <c r="N164" s="89"/>
      <c r="O164" s="89"/>
      <c r="P164" s="89"/>
      <c r="Q164" s="89"/>
      <c r="R164" s="89"/>
      <c r="S164" s="89"/>
      <c r="T164" s="89"/>
      <c r="U164" s="89"/>
      <c r="V164" s="89"/>
      <c r="W164" s="89"/>
      <c r="X164" s="89"/>
      <c r="Y164" s="89"/>
    </row>
    <row r="165" spans="1:25" ht="15.75" customHeight="1">
      <c r="A165" s="89"/>
      <c r="B165" s="89"/>
      <c r="C165" s="89"/>
      <c r="D165" s="89"/>
      <c r="E165" s="89"/>
      <c r="F165" s="89"/>
      <c r="G165" s="89"/>
      <c r="H165" s="89"/>
      <c r="I165" s="89"/>
      <c r="J165" s="89"/>
      <c r="K165" s="89"/>
      <c r="L165" s="89"/>
      <c r="M165" s="89"/>
      <c r="N165" s="89"/>
      <c r="O165" s="89"/>
      <c r="P165" s="89"/>
      <c r="Q165" s="89"/>
      <c r="R165" s="89"/>
      <c r="S165" s="89"/>
      <c r="T165" s="89"/>
      <c r="U165" s="89"/>
      <c r="V165" s="89"/>
      <c r="W165" s="89"/>
      <c r="X165" s="89"/>
      <c r="Y165" s="89"/>
    </row>
    <row r="166" spans="1:25" ht="15.75" customHeight="1">
      <c r="A166" s="89"/>
      <c r="B166" s="89"/>
      <c r="C166" s="89"/>
      <c r="D166" s="89"/>
      <c r="E166" s="89"/>
      <c r="F166" s="89"/>
      <c r="G166" s="89"/>
      <c r="H166" s="89"/>
      <c r="I166" s="89"/>
      <c r="J166" s="89"/>
      <c r="K166" s="89"/>
      <c r="L166" s="89"/>
      <c r="M166" s="89"/>
      <c r="N166" s="89"/>
      <c r="O166" s="89"/>
      <c r="P166" s="89"/>
      <c r="Q166" s="89"/>
      <c r="R166" s="89"/>
      <c r="S166" s="89"/>
      <c r="T166" s="89"/>
      <c r="U166" s="89"/>
      <c r="V166" s="89"/>
      <c r="W166" s="89"/>
      <c r="X166" s="89"/>
      <c r="Y166" s="89"/>
    </row>
    <row r="167" spans="1:25" ht="15.75" customHeight="1">
      <c r="A167" s="89"/>
      <c r="B167" s="89"/>
      <c r="C167" s="89"/>
      <c r="D167" s="89"/>
      <c r="E167" s="89"/>
      <c r="F167" s="89"/>
      <c r="G167" s="89"/>
      <c r="H167" s="89"/>
      <c r="I167" s="89"/>
      <c r="J167" s="89"/>
      <c r="K167" s="89"/>
      <c r="L167" s="89"/>
      <c r="M167" s="89"/>
      <c r="N167" s="89"/>
      <c r="O167" s="89"/>
      <c r="P167" s="89"/>
      <c r="Q167" s="89"/>
      <c r="R167" s="89"/>
      <c r="S167" s="89"/>
      <c r="T167" s="89"/>
      <c r="U167" s="89"/>
      <c r="V167" s="89"/>
      <c r="W167" s="89"/>
      <c r="X167" s="89"/>
      <c r="Y167" s="89"/>
    </row>
    <row r="168" spans="1:25" ht="15.75" customHeight="1">
      <c r="A168" s="89"/>
      <c r="B168" s="89"/>
      <c r="C168" s="89"/>
      <c r="D168" s="89"/>
      <c r="E168" s="89"/>
      <c r="F168" s="89"/>
      <c r="G168" s="89"/>
      <c r="H168" s="89"/>
      <c r="I168" s="89"/>
      <c r="J168" s="89"/>
      <c r="K168" s="89"/>
      <c r="L168" s="89"/>
      <c r="M168" s="89"/>
      <c r="N168" s="89"/>
      <c r="O168" s="89"/>
      <c r="P168" s="89"/>
      <c r="Q168" s="89"/>
      <c r="R168" s="89"/>
      <c r="S168" s="89"/>
      <c r="T168" s="89"/>
      <c r="U168" s="89"/>
      <c r="V168" s="89"/>
      <c r="W168" s="89"/>
      <c r="X168" s="89"/>
      <c r="Y168" s="89"/>
    </row>
    <row r="169" spans="1:25" ht="15.75" customHeight="1">
      <c r="A169" s="89"/>
      <c r="B169" s="89"/>
      <c r="C169" s="89"/>
      <c r="D169" s="89"/>
      <c r="E169" s="89"/>
      <c r="F169" s="89"/>
      <c r="G169" s="89"/>
      <c r="H169" s="89"/>
      <c r="I169" s="89"/>
      <c r="J169" s="89"/>
      <c r="K169" s="89"/>
      <c r="L169" s="89"/>
      <c r="M169" s="89"/>
      <c r="N169" s="89"/>
      <c r="O169" s="89"/>
      <c r="P169" s="89"/>
      <c r="Q169" s="89"/>
      <c r="R169" s="89"/>
      <c r="S169" s="89"/>
      <c r="T169" s="89"/>
      <c r="U169" s="89"/>
      <c r="V169" s="89"/>
      <c r="W169" s="89"/>
      <c r="X169" s="89"/>
      <c r="Y169" s="89"/>
    </row>
    <row r="170" spans="1:25" ht="15.75" customHeight="1">
      <c r="A170" s="89"/>
      <c r="B170" s="89"/>
      <c r="C170" s="89"/>
      <c r="D170" s="89"/>
      <c r="E170" s="89"/>
      <c r="F170" s="89"/>
      <c r="G170" s="89"/>
      <c r="H170" s="89"/>
      <c r="I170" s="89"/>
      <c r="J170" s="89"/>
      <c r="K170" s="89"/>
      <c r="L170" s="89"/>
      <c r="M170" s="89"/>
      <c r="N170" s="89"/>
      <c r="O170" s="89"/>
      <c r="P170" s="89"/>
      <c r="Q170" s="89"/>
      <c r="R170" s="89"/>
      <c r="S170" s="89"/>
      <c r="T170" s="89"/>
      <c r="U170" s="89"/>
      <c r="V170" s="89"/>
      <c r="W170" s="89"/>
      <c r="X170" s="89"/>
      <c r="Y170" s="89"/>
    </row>
    <row r="171" spans="1:25" ht="15.75" customHeight="1">
      <c r="A171" s="89"/>
      <c r="B171" s="89"/>
      <c r="C171" s="89"/>
      <c r="D171" s="89"/>
      <c r="E171" s="89"/>
      <c r="F171" s="89"/>
      <c r="G171" s="89"/>
      <c r="H171" s="89"/>
      <c r="I171" s="89"/>
      <c r="J171" s="89"/>
      <c r="K171" s="89"/>
      <c r="L171" s="89"/>
      <c r="M171" s="89"/>
      <c r="N171" s="89"/>
      <c r="O171" s="89"/>
      <c r="P171" s="89"/>
      <c r="Q171" s="89"/>
      <c r="R171" s="89"/>
      <c r="S171" s="89"/>
      <c r="T171" s="89"/>
      <c r="U171" s="89"/>
      <c r="V171" s="89"/>
      <c r="W171" s="89"/>
      <c r="X171" s="89"/>
      <c r="Y171" s="89"/>
    </row>
    <row r="172" spans="1:25" ht="15.75" customHeight="1">
      <c r="A172" s="89"/>
      <c r="B172" s="89"/>
      <c r="C172" s="89"/>
      <c r="D172" s="89"/>
      <c r="E172" s="89"/>
      <c r="F172" s="89"/>
      <c r="G172" s="89"/>
      <c r="H172" s="89"/>
      <c r="I172" s="89"/>
      <c r="J172" s="89"/>
      <c r="K172" s="89"/>
      <c r="L172" s="89"/>
      <c r="M172" s="89"/>
      <c r="N172" s="89"/>
      <c r="O172" s="89"/>
      <c r="P172" s="89"/>
      <c r="Q172" s="89"/>
      <c r="R172" s="89"/>
      <c r="S172" s="89"/>
      <c r="T172" s="89"/>
      <c r="U172" s="89"/>
      <c r="V172" s="89"/>
      <c r="W172" s="89"/>
      <c r="X172" s="89"/>
      <c r="Y172" s="89"/>
    </row>
    <row r="173" spans="1:25" ht="15.75" customHeight="1">
      <c r="A173" s="89"/>
      <c r="B173" s="89"/>
      <c r="C173" s="89"/>
      <c r="D173" s="89"/>
      <c r="E173" s="89"/>
      <c r="F173" s="89"/>
      <c r="G173" s="89"/>
      <c r="H173" s="89"/>
      <c r="I173" s="89"/>
      <c r="J173" s="89"/>
      <c r="K173" s="89"/>
      <c r="L173" s="89"/>
      <c r="M173" s="89"/>
      <c r="N173" s="89"/>
      <c r="O173" s="89"/>
      <c r="P173" s="89"/>
      <c r="Q173" s="89"/>
      <c r="R173" s="89"/>
      <c r="S173" s="89"/>
      <c r="T173" s="89"/>
      <c r="U173" s="89"/>
      <c r="V173" s="89"/>
      <c r="W173" s="89"/>
      <c r="X173" s="89"/>
      <c r="Y173" s="89"/>
    </row>
    <row r="174" spans="1:25" ht="15.75" customHeight="1">
      <c r="A174" s="89"/>
      <c r="B174" s="89"/>
      <c r="C174" s="89"/>
      <c r="D174" s="89"/>
      <c r="E174" s="89"/>
      <c r="F174" s="89"/>
      <c r="G174" s="89"/>
      <c r="H174" s="89"/>
      <c r="I174" s="89"/>
      <c r="J174" s="89"/>
      <c r="K174" s="89"/>
      <c r="L174" s="89"/>
      <c r="M174" s="89"/>
      <c r="N174" s="89"/>
      <c r="O174" s="89"/>
      <c r="P174" s="89"/>
      <c r="Q174" s="89"/>
      <c r="R174" s="89"/>
      <c r="S174" s="89"/>
      <c r="T174" s="89"/>
      <c r="U174" s="89"/>
      <c r="V174" s="89"/>
      <c r="W174" s="89"/>
      <c r="X174" s="89"/>
      <c r="Y174" s="89"/>
    </row>
    <row r="175" spans="1:25" ht="15.75" customHeight="1">
      <c r="A175" s="89"/>
      <c r="B175" s="89"/>
      <c r="C175" s="89"/>
      <c r="D175" s="89"/>
      <c r="E175" s="89"/>
      <c r="F175" s="89"/>
      <c r="G175" s="89"/>
      <c r="H175" s="89"/>
      <c r="I175" s="89"/>
      <c r="J175" s="89"/>
      <c r="K175" s="89"/>
      <c r="L175" s="89"/>
      <c r="M175" s="89"/>
      <c r="N175" s="89"/>
      <c r="O175" s="89"/>
      <c r="P175" s="89"/>
      <c r="Q175" s="89"/>
      <c r="R175" s="89"/>
      <c r="S175" s="89"/>
      <c r="T175" s="89"/>
      <c r="U175" s="89"/>
      <c r="V175" s="89"/>
      <c r="W175" s="89"/>
      <c r="X175" s="89"/>
      <c r="Y175" s="89"/>
    </row>
    <row r="176" spans="1:25" ht="15.75" customHeight="1">
      <c r="A176" s="89"/>
      <c r="B176" s="89"/>
      <c r="C176" s="89"/>
      <c r="D176" s="89"/>
      <c r="E176" s="89"/>
      <c r="F176" s="89"/>
      <c r="G176" s="89"/>
      <c r="H176" s="89"/>
      <c r="I176" s="89"/>
      <c r="J176" s="89"/>
      <c r="K176" s="89"/>
      <c r="L176" s="89"/>
      <c r="M176" s="89"/>
      <c r="N176" s="89"/>
      <c r="O176" s="89"/>
      <c r="P176" s="89"/>
      <c r="Q176" s="89"/>
      <c r="R176" s="89"/>
      <c r="S176" s="89"/>
      <c r="T176" s="89"/>
      <c r="U176" s="89"/>
      <c r="V176" s="89"/>
      <c r="W176" s="89"/>
      <c r="X176" s="89"/>
      <c r="Y176" s="89"/>
    </row>
    <row r="177" spans="1:25" ht="15.75" customHeight="1">
      <c r="A177" s="89"/>
      <c r="B177" s="89"/>
      <c r="C177" s="89"/>
      <c r="D177" s="89"/>
      <c r="E177" s="89"/>
      <c r="F177" s="89"/>
      <c r="G177" s="89"/>
      <c r="H177" s="89"/>
      <c r="I177" s="89"/>
      <c r="J177" s="89"/>
      <c r="K177" s="89"/>
      <c r="L177" s="89"/>
      <c r="M177" s="89"/>
      <c r="N177" s="89"/>
      <c r="O177" s="89"/>
      <c r="P177" s="89"/>
      <c r="Q177" s="89"/>
      <c r="R177" s="89"/>
      <c r="S177" s="89"/>
      <c r="T177" s="89"/>
      <c r="U177" s="89"/>
      <c r="V177" s="89"/>
      <c r="W177" s="89"/>
      <c r="X177" s="89"/>
      <c r="Y177" s="89"/>
    </row>
    <row r="178" spans="1:25" ht="15.75" customHeight="1">
      <c r="A178" s="89"/>
      <c r="B178" s="89"/>
      <c r="C178" s="89"/>
      <c r="D178" s="89"/>
      <c r="E178" s="89"/>
      <c r="F178" s="89"/>
      <c r="G178" s="89"/>
      <c r="H178" s="89"/>
      <c r="I178" s="89"/>
      <c r="J178" s="89"/>
      <c r="K178" s="89"/>
      <c r="L178" s="89"/>
      <c r="M178" s="89"/>
      <c r="N178" s="89"/>
      <c r="O178" s="89"/>
      <c r="P178" s="89"/>
      <c r="Q178" s="89"/>
      <c r="R178" s="89"/>
      <c r="S178" s="89"/>
      <c r="T178" s="89"/>
      <c r="U178" s="89"/>
      <c r="V178" s="89"/>
      <c r="W178" s="89"/>
      <c r="X178" s="89"/>
      <c r="Y178" s="89"/>
    </row>
    <row r="179" spans="1:25" ht="15.75" customHeight="1">
      <c r="A179" s="89"/>
      <c r="B179" s="89"/>
      <c r="C179" s="89"/>
      <c r="D179" s="89"/>
      <c r="E179" s="89"/>
      <c r="F179" s="89"/>
      <c r="G179" s="89"/>
      <c r="H179" s="89"/>
      <c r="I179" s="89"/>
      <c r="J179" s="89"/>
      <c r="K179" s="89"/>
      <c r="L179" s="89"/>
      <c r="M179" s="89"/>
      <c r="N179" s="89"/>
      <c r="O179" s="89"/>
      <c r="P179" s="89"/>
      <c r="Q179" s="89"/>
      <c r="R179" s="89"/>
      <c r="S179" s="89"/>
      <c r="T179" s="89"/>
      <c r="U179" s="89"/>
      <c r="V179" s="89"/>
      <c r="W179" s="89"/>
      <c r="X179" s="89"/>
      <c r="Y179" s="89"/>
    </row>
    <row r="180" spans="1:25" ht="15.75" customHeight="1">
      <c r="A180" s="89"/>
      <c r="B180" s="89"/>
      <c r="C180" s="89"/>
      <c r="D180" s="89"/>
      <c r="E180" s="89"/>
      <c r="F180" s="89"/>
      <c r="G180" s="89"/>
      <c r="H180" s="89"/>
      <c r="I180" s="89"/>
      <c r="J180" s="89"/>
      <c r="K180" s="89"/>
      <c r="L180" s="89"/>
      <c r="M180" s="89"/>
      <c r="N180" s="89"/>
      <c r="O180" s="89"/>
      <c r="P180" s="89"/>
      <c r="Q180" s="89"/>
      <c r="R180" s="89"/>
      <c r="S180" s="89"/>
      <c r="T180" s="89"/>
      <c r="U180" s="89"/>
      <c r="V180" s="89"/>
      <c r="W180" s="89"/>
      <c r="X180" s="89"/>
      <c r="Y180" s="89"/>
    </row>
    <row r="181" spans="1:25" ht="15.75" customHeight="1">
      <c r="A181" s="89"/>
      <c r="B181" s="89"/>
      <c r="C181" s="89"/>
      <c r="D181" s="89"/>
      <c r="E181" s="89"/>
      <c r="F181" s="89"/>
      <c r="G181" s="89"/>
      <c r="H181" s="89"/>
      <c r="I181" s="89"/>
      <c r="J181" s="89"/>
      <c r="K181" s="89"/>
      <c r="L181" s="89"/>
      <c r="M181" s="89"/>
      <c r="N181" s="89"/>
      <c r="O181" s="89"/>
      <c r="P181" s="89"/>
      <c r="Q181" s="89"/>
      <c r="R181" s="89"/>
      <c r="S181" s="89"/>
      <c r="T181" s="89"/>
      <c r="U181" s="89"/>
      <c r="V181" s="89"/>
      <c r="W181" s="89"/>
      <c r="X181" s="89"/>
      <c r="Y181" s="89"/>
    </row>
    <row r="182" spans="1:25" ht="15.75" customHeight="1">
      <c r="A182" s="89"/>
      <c r="B182" s="89"/>
      <c r="C182" s="89"/>
      <c r="D182" s="89"/>
      <c r="E182" s="89"/>
      <c r="F182" s="89"/>
      <c r="G182" s="89"/>
      <c r="H182" s="89"/>
      <c r="I182" s="89"/>
      <c r="J182" s="89"/>
      <c r="K182" s="89"/>
      <c r="L182" s="89"/>
      <c r="M182" s="89"/>
      <c r="N182" s="89"/>
      <c r="O182" s="89"/>
      <c r="P182" s="89"/>
      <c r="Q182" s="89"/>
      <c r="R182" s="89"/>
      <c r="S182" s="89"/>
      <c r="T182" s="89"/>
      <c r="U182" s="89"/>
      <c r="V182" s="89"/>
      <c r="W182" s="89"/>
      <c r="X182" s="89"/>
      <c r="Y182" s="89"/>
    </row>
    <row r="183" spans="1:25" ht="15.75" customHeight="1">
      <c r="A183" s="89"/>
      <c r="B183" s="89"/>
      <c r="C183" s="89"/>
      <c r="D183" s="89"/>
      <c r="E183" s="89"/>
      <c r="F183" s="89"/>
      <c r="G183" s="89"/>
      <c r="H183" s="89"/>
      <c r="I183" s="89"/>
      <c r="J183" s="89"/>
      <c r="K183" s="89"/>
      <c r="L183" s="89"/>
      <c r="M183" s="89"/>
      <c r="N183" s="89"/>
      <c r="O183" s="89"/>
      <c r="P183" s="89"/>
      <c r="Q183" s="89"/>
      <c r="R183" s="89"/>
      <c r="S183" s="89"/>
      <c r="T183" s="89"/>
      <c r="U183" s="89"/>
      <c r="V183" s="89"/>
      <c r="W183" s="89"/>
      <c r="X183" s="89"/>
      <c r="Y183" s="89"/>
    </row>
    <row r="184" spans="1:25" ht="15.75" customHeight="1">
      <c r="A184" s="89"/>
      <c r="B184" s="89"/>
      <c r="C184" s="89"/>
      <c r="D184" s="89"/>
      <c r="E184" s="89"/>
      <c r="F184" s="89"/>
      <c r="G184" s="89"/>
      <c r="H184" s="89"/>
      <c r="I184" s="89"/>
      <c r="J184" s="89"/>
      <c r="K184" s="89"/>
      <c r="L184" s="89"/>
      <c r="M184" s="89"/>
      <c r="N184" s="89"/>
      <c r="O184" s="89"/>
      <c r="P184" s="89"/>
      <c r="Q184" s="89"/>
      <c r="R184" s="89"/>
      <c r="S184" s="89"/>
      <c r="T184" s="89"/>
      <c r="U184" s="89"/>
      <c r="V184" s="89"/>
      <c r="W184" s="89"/>
      <c r="X184" s="89"/>
      <c r="Y184" s="89"/>
    </row>
    <row r="185" spans="1:25" ht="15.75" customHeight="1">
      <c r="A185" s="89"/>
      <c r="B185" s="89"/>
      <c r="C185" s="89"/>
      <c r="D185" s="89"/>
      <c r="E185" s="89"/>
      <c r="F185" s="89"/>
      <c r="G185" s="89"/>
      <c r="H185" s="89"/>
      <c r="I185" s="89"/>
      <c r="J185" s="89"/>
      <c r="K185" s="89"/>
      <c r="L185" s="89"/>
      <c r="M185" s="89"/>
      <c r="N185" s="89"/>
      <c r="O185" s="89"/>
      <c r="P185" s="89"/>
      <c r="Q185" s="89"/>
      <c r="R185" s="89"/>
      <c r="S185" s="89"/>
      <c r="T185" s="89"/>
      <c r="U185" s="89"/>
      <c r="V185" s="89"/>
      <c r="W185" s="89"/>
      <c r="X185" s="89"/>
      <c r="Y185" s="89"/>
    </row>
    <row r="186" spans="1:25" ht="15.75" customHeight="1">
      <c r="A186" s="89"/>
      <c r="B186" s="89"/>
      <c r="C186" s="89"/>
      <c r="D186" s="89"/>
      <c r="E186" s="89"/>
      <c r="F186" s="89"/>
      <c r="G186" s="89"/>
      <c r="H186" s="89"/>
      <c r="I186" s="89"/>
      <c r="J186" s="89"/>
      <c r="K186" s="89"/>
      <c r="L186" s="89"/>
      <c r="M186" s="89"/>
      <c r="N186" s="89"/>
      <c r="O186" s="89"/>
      <c r="P186" s="89"/>
      <c r="Q186" s="89"/>
      <c r="R186" s="89"/>
      <c r="S186" s="89"/>
      <c r="T186" s="89"/>
      <c r="U186" s="89"/>
      <c r="V186" s="89"/>
      <c r="W186" s="89"/>
      <c r="X186" s="89"/>
      <c r="Y186" s="89"/>
    </row>
    <row r="187" spans="1:25" ht="15.75" customHeight="1">
      <c r="A187" s="89"/>
      <c r="B187" s="89"/>
      <c r="C187" s="89"/>
      <c r="D187" s="89"/>
      <c r="E187" s="89"/>
      <c r="F187" s="89"/>
      <c r="G187" s="89"/>
      <c r="H187" s="89"/>
      <c r="I187" s="89"/>
      <c r="J187" s="89"/>
      <c r="K187" s="89"/>
      <c r="L187" s="89"/>
      <c r="M187" s="89"/>
      <c r="N187" s="89"/>
      <c r="O187" s="89"/>
      <c r="P187" s="89"/>
      <c r="Q187" s="89"/>
      <c r="R187" s="89"/>
      <c r="S187" s="89"/>
      <c r="T187" s="89"/>
      <c r="U187" s="89"/>
      <c r="V187" s="89"/>
      <c r="W187" s="89"/>
      <c r="X187" s="89"/>
      <c r="Y187" s="89"/>
    </row>
    <row r="188" spans="1:25" ht="15.75" customHeight="1">
      <c r="A188" s="89"/>
      <c r="B188" s="89"/>
      <c r="C188" s="89"/>
      <c r="D188" s="89"/>
      <c r="E188" s="89"/>
      <c r="F188" s="89"/>
      <c r="G188" s="89"/>
      <c r="H188" s="89"/>
      <c r="I188" s="89"/>
      <c r="J188" s="89"/>
      <c r="K188" s="89"/>
      <c r="L188" s="89"/>
      <c r="M188" s="89"/>
      <c r="N188" s="89"/>
      <c r="O188" s="89"/>
      <c r="P188" s="89"/>
      <c r="Q188" s="89"/>
      <c r="R188" s="89"/>
      <c r="S188" s="89"/>
      <c r="T188" s="89"/>
      <c r="U188" s="89"/>
      <c r="V188" s="89"/>
      <c r="W188" s="89"/>
      <c r="X188" s="89"/>
      <c r="Y188" s="89"/>
    </row>
    <row r="189" spans="1:25" ht="15.75" customHeight="1">
      <c r="A189" s="89"/>
      <c r="B189" s="89"/>
      <c r="C189" s="89"/>
      <c r="D189" s="89"/>
      <c r="E189" s="89"/>
      <c r="F189" s="89"/>
      <c r="G189" s="89"/>
      <c r="H189" s="89"/>
      <c r="I189" s="89"/>
      <c r="J189" s="89"/>
      <c r="K189" s="89"/>
      <c r="L189" s="89"/>
      <c r="M189" s="89"/>
      <c r="N189" s="89"/>
      <c r="O189" s="89"/>
      <c r="P189" s="89"/>
      <c r="Q189" s="89"/>
      <c r="R189" s="89"/>
      <c r="S189" s="89"/>
      <c r="T189" s="89"/>
      <c r="U189" s="89"/>
      <c r="V189" s="89"/>
      <c r="W189" s="89"/>
      <c r="X189" s="89"/>
      <c r="Y189" s="89"/>
    </row>
    <row r="190" spans="1:25" ht="15.75" customHeight="1">
      <c r="A190" s="89"/>
      <c r="B190" s="89"/>
      <c r="C190" s="89"/>
      <c r="D190" s="89"/>
      <c r="E190" s="89"/>
      <c r="F190" s="89"/>
      <c r="G190" s="89"/>
      <c r="H190" s="89"/>
      <c r="I190" s="89"/>
      <c r="J190" s="89"/>
      <c r="K190" s="89"/>
      <c r="L190" s="89"/>
      <c r="M190" s="89"/>
      <c r="N190" s="89"/>
      <c r="O190" s="89"/>
      <c r="P190" s="89"/>
      <c r="Q190" s="89"/>
      <c r="R190" s="89"/>
      <c r="S190" s="89"/>
      <c r="T190" s="89"/>
      <c r="U190" s="89"/>
      <c r="V190" s="89"/>
      <c r="W190" s="89"/>
      <c r="X190" s="89"/>
      <c r="Y190" s="89"/>
    </row>
    <row r="191" spans="1:25" ht="15.75" customHeight="1">
      <c r="A191" s="89"/>
      <c r="B191" s="89"/>
      <c r="C191" s="89"/>
      <c r="D191" s="89"/>
      <c r="E191" s="89"/>
      <c r="F191" s="89"/>
      <c r="G191" s="89"/>
      <c r="H191" s="89"/>
      <c r="I191" s="89"/>
      <c r="J191" s="89"/>
      <c r="K191" s="89"/>
      <c r="L191" s="89"/>
      <c r="M191" s="89"/>
      <c r="N191" s="89"/>
      <c r="O191" s="89"/>
      <c r="P191" s="89"/>
      <c r="Q191" s="89"/>
      <c r="R191" s="89"/>
      <c r="S191" s="89"/>
      <c r="T191" s="89"/>
      <c r="U191" s="89"/>
      <c r="V191" s="89"/>
      <c r="W191" s="89"/>
      <c r="X191" s="89"/>
      <c r="Y191" s="89"/>
    </row>
    <row r="192" spans="1:25" ht="15.75" customHeight="1">
      <c r="A192" s="89"/>
      <c r="B192" s="89"/>
      <c r="C192" s="89"/>
      <c r="D192" s="89"/>
      <c r="E192" s="89"/>
      <c r="F192" s="89"/>
      <c r="G192" s="89"/>
      <c r="H192" s="89"/>
      <c r="I192" s="89"/>
      <c r="J192" s="89"/>
      <c r="K192" s="89"/>
      <c r="L192" s="89"/>
      <c r="M192" s="89"/>
      <c r="N192" s="89"/>
      <c r="O192" s="89"/>
      <c r="P192" s="89"/>
      <c r="Q192" s="89"/>
      <c r="R192" s="89"/>
      <c r="S192" s="89"/>
      <c r="T192" s="89"/>
      <c r="U192" s="89"/>
      <c r="V192" s="89"/>
      <c r="W192" s="89"/>
      <c r="X192" s="89"/>
      <c r="Y192" s="89"/>
    </row>
    <row r="193" spans="1:25" ht="15.75" customHeight="1">
      <c r="A193" s="89"/>
      <c r="B193" s="89"/>
      <c r="C193" s="89"/>
      <c r="D193" s="89"/>
      <c r="E193" s="89"/>
      <c r="F193" s="89"/>
      <c r="G193" s="89"/>
      <c r="H193" s="89"/>
      <c r="I193" s="89"/>
      <c r="J193" s="89"/>
      <c r="K193" s="89"/>
      <c r="L193" s="89"/>
      <c r="M193" s="89"/>
      <c r="N193" s="89"/>
      <c r="O193" s="89"/>
      <c r="P193" s="89"/>
      <c r="Q193" s="89"/>
      <c r="R193" s="89"/>
      <c r="S193" s="89"/>
      <c r="T193" s="89"/>
      <c r="U193" s="89"/>
      <c r="V193" s="89"/>
      <c r="W193" s="89"/>
      <c r="X193" s="89"/>
      <c r="Y193" s="89"/>
    </row>
    <row r="194" spans="1:25" ht="15.75" customHeight="1">
      <c r="A194" s="89"/>
      <c r="B194" s="89"/>
      <c r="C194" s="89"/>
      <c r="D194" s="89"/>
      <c r="E194" s="89"/>
      <c r="F194" s="89"/>
      <c r="G194" s="89"/>
      <c r="H194" s="89"/>
      <c r="I194" s="89"/>
      <c r="J194" s="89"/>
      <c r="K194" s="89"/>
      <c r="L194" s="89"/>
      <c r="M194" s="89"/>
      <c r="N194" s="89"/>
      <c r="O194" s="89"/>
      <c r="P194" s="89"/>
      <c r="Q194" s="89"/>
      <c r="R194" s="89"/>
      <c r="S194" s="89"/>
      <c r="T194" s="89"/>
      <c r="U194" s="89"/>
      <c r="V194" s="89"/>
      <c r="W194" s="89"/>
      <c r="X194" s="89"/>
      <c r="Y194" s="89"/>
    </row>
    <row r="195" spans="1:25" ht="15.75" customHeight="1">
      <c r="A195" s="89"/>
      <c r="B195" s="89"/>
      <c r="C195" s="89"/>
      <c r="D195" s="89"/>
      <c r="E195" s="89"/>
      <c r="F195" s="89"/>
      <c r="G195" s="89"/>
      <c r="H195" s="89"/>
      <c r="I195" s="89"/>
      <c r="J195" s="89"/>
      <c r="K195" s="89"/>
      <c r="L195" s="89"/>
      <c r="M195" s="89"/>
      <c r="N195" s="89"/>
      <c r="O195" s="89"/>
      <c r="P195" s="89"/>
      <c r="Q195" s="89"/>
      <c r="R195" s="89"/>
      <c r="S195" s="89"/>
      <c r="T195" s="89"/>
      <c r="U195" s="89"/>
      <c r="V195" s="89"/>
      <c r="W195" s="89"/>
      <c r="X195" s="89"/>
      <c r="Y195" s="89"/>
    </row>
    <row r="196" spans="1:25" ht="15.75" customHeight="1">
      <c r="A196" s="89"/>
      <c r="B196" s="89"/>
      <c r="C196" s="89"/>
      <c r="D196" s="89"/>
      <c r="E196" s="89"/>
      <c r="F196" s="89"/>
      <c r="G196" s="89"/>
      <c r="H196" s="89"/>
      <c r="I196" s="89"/>
      <c r="J196" s="89"/>
      <c r="K196" s="89"/>
      <c r="L196" s="89"/>
      <c r="M196" s="89"/>
      <c r="N196" s="89"/>
      <c r="O196" s="89"/>
      <c r="P196" s="89"/>
      <c r="Q196" s="89"/>
      <c r="R196" s="89"/>
      <c r="S196" s="89"/>
      <c r="T196" s="89"/>
      <c r="U196" s="89"/>
      <c r="V196" s="89"/>
      <c r="W196" s="89"/>
      <c r="X196" s="89"/>
      <c r="Y196" s="89"/>
    </row>
    <row r="197" spans="1:25" ht="15.75" customHeight="1">
      <c r="A197" s="89"/>
      <c r="B197" s="89"/>
      <c r="C197" s="89"/>
      <c r="D197" s="89"/>
      <c r="E197" s="89"/>
      <c r="F197" s="89"/>
      <c r="G197" s="89"/>
      <c r="H197" s="89"/>
      <c r="I197" s="89"/>
      <c r="J197" s="89"/>
      <c r="K197" s="89"/>
      <c r="L197" s="89"/>
      <c r="M197" s="89"/>
      <c r="N197" s="89"/>
      <c r="O197" s="89"/>
      <c r="P197" s="89"/>
      <c r="Q197" s="89"/>
      <c r="R197" s="89"/>
      <c r="S197" s="89"/>
      <c r="T197" s="89"/>
      <c r="U197" s="89"/>
      <c r="V197" s="89"/>
      <c r="W197" s="89"/>
      <c r="X197" s="89"/>
      <c r="Y197" s="89"/>
    </row>
    <row r="198" spans="1:25" ht="15.75" customHeight="1">
      <c r="A198" s="89"/>
      <c r="B198" s="89"/>
      <c r="C198" s="89"/>
      <c r="D198" s="89"/>
      <c r="E198" s="89"/>
      <c r="F198" s="89"/>
      <c r="G198" s="89"/>
      <c r="H198" s="89"/>
      <c r="I198" s="89"/>
      <c r="J198" s="89"/>
      <c r="K198" s="89"/>
      <c r="L198" s="89"/>
      <c r="M198" s="89"/>
      <c r="N198" s="89"/>
      <c r="O198" s="89"/>
      <c r="P198" s="89"/>
      <c r="Q198" s="89"/>
      <c r="R198" s="89"/>
      <c r="S198" s="89"/>
      <c r="T198" s="89"/>
      <c r="U198" s="89"/>
      <c r="V198" s="89"/>
      <c r="W198" s="89"/>
      <c r="X198" s="89"/>
      <c r="Y198" s="89"/>
    </row>
    <row r="199" spans="1:25" ht="15.75" customHeight="1">
      <c r="A199" s="89"/>
      <c r="B199" s="89"/>
      <c r="C199" s="89"/>
      <c r="D199" s="89"/>
      <c r="E199" s="89"/>
      <c r="F199" s="89"/>
      <c r="G199" s="89"/>
      <c r="H199" s="89"/>
      <c r="I199" s="89"/>
      <c r="J199" s="89"/>
      <c r="K199" s="89"/>
      <c r="L199" s="89"/>
      <c r="M199" s="89"/>
      <c r="N199" s="89"/>
      <c r="O199" s="89"/>
      <c r="P199" s="89"/>
      <c r="Q199" s="89"/>
      <c r="R199" s="89"/>
      <c r="S199" s="89"/>
      <c r="T199" s="89"/>
      <c r="U199" s="89"/>
      <c r="V199" s="89"/>
      <c r="W199" s="89"/>
      <c r="X199" s="89"/>
      <c r="Y199" s="89"/>
    </row>
    <row r="200" spans="1:25" ht="15.75" customHeight="1">
      <c r="A200" s="89"/>
      <c r="B200" s="89"/>
      <c r="C200" s="89"/>
      <c r="D200" s="89"/>
      <c r="E200" s="89"/>
      <c r="F200" s="89"/>
      <c r="G200" s="89"/>
      <c r="H200" s="89"/>
      <c r="I200" s="89"/>
      <c r="J200" s="89"/>
      <c r="K200" s="89"/>
      <c r="L200" s="89"/>
      <c r="M200" s="89"/>
      <c r="N200" s="89"/>
      <c r="O200" s="89"/>
      <c r="P200" s="89"/>
      <c r="Q200" s="89"/>
      <c r="R200" s="89"/>
      <c r="S200" s="89"/>
      <c r="T200" s="89"/>
      <c r="U200" s="89"/>
      <c r="V200" s="89"/>
      <c r="W200" s="89"/>
      <c r="X200" s="89"/>
      <c r="Y200" s="89"/>
    </row>
    <row r="201" spans="1:25" ht="15.75" customHeight="1">
      <c r="A201" s="89"/>
      <c r="B201" s="89"/>
      <c r="C201" s="89"/>
      <c r="D201" s="89"/>
      <c r="E201" s="89"/>
      <c r="F201" s="89"/>
      <c r="G201" s="89"/>
      <c r="H201" s="89"/>
      <c r="I201" s="89"/>
      <c r="J201" s="89"/>
      <c r="K201" s="89"/>
      <c r="L201" s="89"/>
      <c r="M201" s="89"/>
      <c r="N201" s="89"/>
      <c r="O201" s="89"/>
      <c r="P201" s="89"/>
      <c r="Q201" s="89"/>
      <c r="R201" s="89"/>
      <c r="S201" s="89"/>
      <c r="T201" s="89"/>
      <c r="U201" s="89"/>
      <c r="V201" s="89"/>
      <c r="W201" s="89"/>
      <c r="X201" s="89"/>
      <c r="Y201" s="89"/>
    </row>
    <row r="202" spans="1:25" ht="15.75" customHeight="1">
      <c r="A202" s="89"/>
      <c r="B202" s="89"/>
      <c r="C202" s="89"/>
      <c r="D202" s="89"/>
      <c r="E202" s="89"/>
      <c r="F202" s="89"/>
      <c r="G202" s="89"/>
      <c r="H202" s="89"/>
      <c r="I202" s="89"/>
      <c r="J202" s="89"/>
      <c r="K202" s="89"/>
      <c r="L202" s="89"/>
      <c r="M202" s="89"/>
      <c r="N202" s="89"/>
      <c r="O202" s="89"/>
      <c r="P202" s="89"/>
      <c r="Q202" s="89"/>
      <c r="R202" s="89"/>
      <c r="S202" s="89"/>
      <c r="T202" s="89"/>
      <c r="U202" s="89"/>
      <c r="V202" s="89"/>
      <c r="W202" s="89"/>
      <c r="X202" s="89"/>
      <c r="Y202" s="89"/>
    </row>
    <row r="203" spans="1:25" ht="15.75" customHeight="1">
      <c r="A203" s="89"/>
      <c r="B203" s="89"/>
      <c r="C203" s="89"/>
      <c r="D203" s="89"/>
      <c r="E203" s="89"/>
      <c r="F203" s="89"/>
      <c r="G203" s="89"/>
      <c r="H203" s="89"/>
      <c r="I203" s="89"/>
      <c r="J203" s="89"/>
      <c r="K203" s="89"/>
      <c r="L203" s="89"/>
      <c r="M203" s="89"/>
      <c r="N203" s="89"/>
      <c r="O203" s="89"/>
      <c r="P203" s="89"/>
      <c r="Q203" s="89"/>
      <c r="R203" s="89"/>
      <c r="S203" s="89"/>
      <c r="T203" s="89"/>
      <c r="U203" s="89"/>
      <c r="V203" s="89"/>
      <c r="W203" s="89"/>
      <c r="X203" s="89"/>
      <c r="Y203" s="89"/>
    </row>
    <row r="204" spans="1:25" ht="15.75" customHeight="1">
      <c r="A204" s="89"/>
      <c r="B204" s="89"/>
      <c r="C204" s="89"/>
      <c r="D204" s="89"/>
      <c r="E204" s="89"/>
      <c r="F204" s="89"/>
      <c r="G204" s="89"/>
      <c r="H204" s="89"/>
      <c r="I204" s="89"/>
      <c r="J204" s="89"/>
      <c r="K204" s="89"/>
      <c r="L204" s="89"/>
      <c r="M204" s="89"/>
      <c r="N204" s="89"/>
      <c r="O204" s="89"/>
      <c r="P204" s="89"/>
      <c r="Q204" s="89"/>
      <c r="R204" s="89"/>
      <c r="S204" s="89"/>
      <c r="T204" s="89"/>
      <c r="U204" s="89"/>
      <c r="V204" s="89"/>
      <c r="W204" s="89"/>
      <c r="X204" s="89"/>
      <c r="Y204" s="89"/>
    </row>
    <row r="205" spans="1:25" ht="15.75" customHeight="1">
      <c r="A205" s="89"/>
      <c r="B205" s="89"/>
      <c r="C205" s="89"/>
      <c r="D205" s="89"/>
      <c r="E205" s="89"/>
      <c r="F205" s="89"/>
      <c r="G205" s="89"/>
      <c r="H205" s="89"/>
      <c r="I205" s="89"/>
      <c r="J205" s="89"/>
      <c r="K205" s="89"/>
      <c r="L205" s="89"/>
      <c r="M205" s="89"/>
      <c r="N205" s="89"/>
      <c r="O205" s="89"/>
      <c r="P205" s="89"/>
      <c r="Q205" s="89"/>
      <c r="R205" s="89"/>
      <c r="S205" s="89"/>
      <c r="T205" s="89"/>
      <c r="U205" s="89"/>
      <c r="V205" s="89"/>
      <c r="W205" s="89"/>
      <c r="X205" s="89"/>
      <c r="Y205" s="89"/>
    </row>
    <row r="206" spans="1:25" ht="15.75" customHeight="1">
      <c r="A206" s="89"/>
      <c r="B206" s="89"/>
      <c r="C206" s="89"/>
      <c r="D206" s="89"/>
      <c r="E206" s="89"/>
      <c r="F206" s="89"/>
      <c r="G206" s="89"/>
      <c r="H206" s="89"/>
      <c r="I206" s="89"/>
      <c r="J206" s="89"/>
      <c r="K206" s="89"/>
      <c r="L206" s="89"/>
      <c r="M206" s="89"/>
      <c r="N206" s="89"/>
      <c r="O206" s="89"/>
      <c r="P206" s="89"/>
      <c r="Q206" s="89"/>
      <c r="R206" s="89"/>
      <c r="S206" s="89"/>
      <c r="T206" s="89"/>
      <c r="U206" s="89"/>
      <c r="V206" s="89"/>
      <c r="W206" s="89"/>
      <c r="X206" s="89"/>
      <c r="Y206" s="89"/>
    </row>
    <row r="207" spans="1:25" ht="15.75" customHeight="1">
      <c r="A207" s="89"/>
      <c r="B207" s="89"/>
      <c r="C207" s="89"/>
      <c r="D207" s="89"/>
      <c r="E207" s="89"/>
      <c r="F207" s="89"/>
      <c r="G207" s="89"/>
      <c r="H207" s="89"/>
      <c r="I207" s="89"/>
      <c r="J207" s="89"/>
      <c r="K207" s="89"/>
      <c r="L207" s="89"/>
      <c r="M207" s="89"/>
      <c r="N207" s="89"/>
      <c r="O207" s="89"/>
      <c r="P207" s="89"/>
      <c r="Q207" s="89"/>
      <c r="R207" s="89"/>
      <c r="S207" s="89"/>
      <c r="T207" s="89"/>
      <c r="U207" s="89"/>
      <c r="V207" s="89"/>
      <c r="W207" s="89"/>
      <c r="X207" s="89"/>
      <c r="Y207" s="89"/>
    </row>
    <row r="208" spans="1:25" ht="15.75" customHeight="1">
      <c r="A208" s="89"/>
      <c r="B208" s="89"/>
      <c r="C208" s="89"/>
      <c r="D208" s="89"/>
      <c r="E208" s="89"/>
      <c r="F208" s="89"/>
      <c r="G208" s="89"/>
      <c r="H208" s="89"/>
      <c r="I208" s="89"/>
      <c r="J208" s="89"/>
      <c r="K208" s="89"/>
      <c r="L208" s="89"/>
      <c r="M208" s="89"/>
      <c r="N208" s="89"/>
      <c r="O208" s="89"/>
      <c r="P208" s="89"/>
      <c r="Q208" s="89"/>
      <c r="R208" s="89"/>
      <c r="S208" s="89"/>
      <c r="T208" s="89"/>
      <c r="U208" s="89"/>
      <c r="V208" s="89"/>
      <c r="W208" s="89"/>
      <c r="X208" s="89"/>
      <c r="Y208" s="89"/>
    </row>
    <row r="209" spans="1:25" ht="15.75" customHeight="1">
      <c r="A209" s="89"/>
      <c r="B209" s="89"/>
      <c r="C209" s="89"/>
      <c r="D209" s="89"/>
      <c r="E209" s="89"/>
      <c r="F209" s="89"/>
      <c r="G209" s="89"/>
      <c r="H209" s="89"/>
      <c r="I209" s="89"/>
      <c r="J209" s="89"/>
      <c r="K209" s="89"/>
      <c r="L209" s="89"/>
      <c r="M209" s="89"/>
      <c r="N209" s="89"/>
      <c r="O209" s="89"/>
      <c r="P209" s="89"/>
      <c r="Q209" s="89"/>
      <c r="R209" s="89"/>
      <c r="S209" s="89"/>
      <c r="T209" s="89"/>
      <c r="U209" s="89"/>
      <c r="V209" s="89"/>
      <c r="W209" s="89"/>
      <c r="X209" s="89"/>
      <c r="Y209" s="89"/>
    </row>
    <row r="210" spans="1:25" ht="15.75" customHeight="1">
      <c r="A210" s="89"/>
      <c r="B210" s="89"/>
      <c r="C210" s="89"/>
      <c r="D210" s="89"/>
      <c r="E210" s="89"/>
      <c r="F210" s="89"/>
      <c r="G210" s="89"/>
      <c r="H210" s="89"/>
      <c r="I210" s="89"/>
      <c r="J210" s="89"/>
      <c r="K210" s="89"/>
      <c r="L210" s="89"/>
      <c r="M210" s="89"/>
      <c r="N210" s="89"/>
      <c r="O210" s="89"/>
      <c r="P210" s="89"/>
      <c r="Q210" s="89"/>
      <c r="R210" s="89"/>
      <c r="S210" s="89"/>
      <c r="T210" s="89"/>
      <c r="U210" s="89"/>
      <c r="V210" s="89"/>
      <c r="W210" s="89"/>
      <c r="X210" s="89"/>
      <c r="Y210" s="89"/>
    </row>
    <row r="211" spans="1:25" ht="15.75" customHeight="1">
      <c r="A211" s="89"/>
      <c r="B211" s="89"/>
      <c r="C211" s="89"/>
      <c r="D211" s="89"/>
      <c r="E211" s="89"/>
      <c r="F211" s="89"/>
      <c r="G211" s="89"/>
      <c r="H211" s="89"/>
      <c r="I211" s="89"/>
      <c r="J211" s="89"/>
      <c r="K211" s="89"/>
      <c r="L211" s="89"/>
      <c r="M211" s="89"/>
      <c r="N211" s="89"/>
      <c r="O211" s="89"/>
      <c r="P211" s="89"/>
      <c r="Q211" s="89"/>
      <c r="R211" s="89"/>
      <c r="S211" s="89"/>
      <c r="T211" s="89"/>
      <c r="U211" s="89"/>
      <c r="V211" s="89"/>
      <c r="W211" s="89"/>
      <c r="X211" s="89"/>
      <c r="Y211" s="89"/>
    </row>
    <row r="212" spans="1:25" ht="15.75" customHeight="1">
      <c r="A212" s="89"/>
      <c r="B212" s="89"/>
      <c r="C212" s="89"/>
      <c r="D212" s="89"/>
      <c r="E212" s="89"/>
      <c r="F212" s="89"/>
      <c r="G212" s="89"/>
      <c r="H212" s="89"/>
      <c r="I212" s="89"/>
      <c r="J212" s="89"/>
      <c r="K212" s="89"/>
      <c r="L212" s="89"/>
      <c r="M212" s="89"/>
      <c r="N212" s="89"/>
      <c r="O212" s="89"/>
      <c r="P212" s="89"/>
      <c r="Q212" s="89"/>
      <c r="R212" s="89"/>
      <c r="S212" s="89"/>
      <c r="T212" s="89"/>
      <c r="U212" s="89"/>
      <c r="V212" s="89"/>
      <c r="W212" s="89"/>
      <c r="X212" s="89"/>
      <c r="Y212" s="89"/>
    </row>
    <row r="213" spans="1:25" ht="15.75" customHeight="1">
      <c r="A213" s="89"/>
      <c r="B213" s="89"/>
      <c r="C213" s="89"/>
      <c r="D213" s="89"/>
      <c r="E213" s="89"/>
      <c r="F213" s="89"/>
      <c r="G213" s="89"/>
      <c r="H213" s="89"/>
      <c r="I213" s="89"/>
      <c r="J213" s="89"/>
      <c r="K213" s="89"/>
      <c r="L213" s="89"/>
      <c r="M213" s="89"/>
      <c r="N213" s="89"/>
      <c r="O213" s="89"/>
      <c r="P213" s="89"/>
      <c r="Q213" s="89"/>
      <c r="R213" s="89"/>
      <c r="S213" s="89"/>
      <c r="T213" s="89"/>
      <c r="U213" s="89"/>
      <c r="V213" s="89"/>
      <c r="W213" s="89"/>
      <c r="X213" s="89"/>
      <c r="Y213" s="89"/>
    </row>
    <row r="214" spans="1:25" ht="15.75" customHeight="1">
      <c r="A214" s="89"/>
      <c r="B214" s="89"/>
      <c r="C214" s="89"/>
      <c r="D214" s="89"/>
      <c r="E214" s="89"/>
      <c r="F214" s="89"/>
      <c r="G214" s="89"/>
      <c r="H214" s="89"/>
      <c r="I214" s="89"/>
      <c r="J214" s="89"/>
      <c r="K214" s="89"/>
      <c r="L214" s="89"/>
      <c r="M214" s="89"/>
      <c r="N214" s="89"/>
      <c r="O214" s="89"/>
      <c r="P214" s="89"/>
      <c r="Q214" s="89"/>
      <c r="R214" s="89"/>
      <c r="S214" s="89"/>
      <c r="T214" s="89"/>
      <c r="U214" s="89"/>
      <c r="V214" s="89"/>
      <c r="W214" s="89"/>
      <c r="X214" s="89"/>
      <c r="Y214" s="89"/>
    </row>
    <row r="215" spans="1:25" ht="15.75" customHeight="1">
      <c r="A215" s="89"/>
      <c r="B215" s="89"/>
      <c r="C215" s="89"/>
      <c r="D215" s="89"/>
      <c r="E215" s="89"/>
      <c r="F215" s="89"/>
      <c r="G215" s="89"/>
      <c r="H215" s="89"/>
      <c r="I215" s="89"/>
      <c r="J215" s="89"/>
      <c r="K215" s="89"/>
      <c r="L215" s="89"/>
      <c r="M215" s="89"/>
      <c r="N215" s="89"/>
      <c r="O215" s="89"/>
      <c r="P215" s="89"/>
      <c r="Q215" s="89"/>
      <c r="R215" s="89"/>
      <c r="S215" s="89"/>
      <c r="T215" s="89"/>
      <c r="U215" s="89"/>
      <c r="V215" s="89"/>
      <c r="W215" s="89"/>
      <c r="X215" s="89"/>
      <c r="Y215" s="89"/>
    </row>
    <row r="216" spans="1:25" ht="15.75" customHeight="1">
      <c r="A216" s="89"/>
      <c r="B216" s="89"/>
      <c r="C216" s="89"/>
      <c r="D216" s="89"/>
      <c r="E216" s="89"/>
      <c r="F216" s="89"/>
      <c r="G216" s="89"/>
      <c r="H216" s="89"/>
      <c r="I216" s="89"/>
      <c r="J216" s="89"/>
      <c r="K216" s="89"/>
      <c r="L216" s="89"/>
      <c r="M216" s="89"/>
      <c r="N216" s="89"/>
      <c r="O216" s="89"/>
      <c r="P216" s="89"/>
      <c r="Q216" s="89"/>
      <c r="R216" s="89"/>
      <c r="S216" s="89"/>
      <c r="T216" s="89"/>
      <c r="U216" s="89"/>
      <c r="V216" s="89"/>
      <c r="W216" s="89"/>
      <c r="X216" s="89"/>
      <c r="Y216" s="89"/>
    </row>
    <row r="217" spans="1:25" ht="15.75" customHeight="1">
      <c r="A217" s="89"/>
      <c r="B217" s="89"/>
      <c r="C217" s="89"/>
      <c r="D217" s="89"/>
      <c r="E217" s="89"/>
      <c r="F217" s="89"/>
      <c r="G217" s="89"/>
      <c r="H217" s="89"/>
      <c r="I217" s="89"/>
      <c r="J217" s="89"/>
      <c r="K217" s="89"/>
      <c r="L217" s="89"/>
      <c r="M217" s="89"/>
      <c r="N217" s="89"/>
      <c r="O217" s="89"/>
      <c r="P217" s="89"/>
      <c r="Q217" s="89"/>
      <c r="R217" s="89"/>
      <c r="S217" s="89"/>
      <c r="T217" s="89"/>
      <c r="U217" s="89"/>
      <c r="V217" s="89"/>
      <c r="W217" s="89"/>
      <c r="X217" s="89"/>
      <c r="Y217" s="89"/>
    </row>
    <row r="218" spans="1:25" ht="15.75" customHeight="1">
      <c r="A218" s="89"/>
      <c r="B218" s="89"/>
      <c r="C218" s="89"/>
      <c r="D218" s="89"/>
      <c r="E218" s="89"/>
      <c r="F218" s="89"/>
      <c r="G218" s="89"/>
      <c r="H218" s="89"/>
      <c r="I218" s="89"/>
      <c r="J218" s="89"/>
      <c r="K218" s="89"/>
      <c r="L218" s="89"/>
      <c r="M218" s="89"/>
      <c r="N218" s="89"/>
      <c r="O218" s="89"/>
      <c r="P218" s="89"/>
      <c r="Q218" s="89"/>
      <c r="R218" s="89"/>
      <c r="S218" s="89"/>
      <c r="T218" s="89"/>
      <c r="U218" s="89"/>
      <c r="V218" s="89"/>
      <c r="W218" s="89"/>
      <c r="X218" s="89"/>
      <c r="Y218" s="89"/>
    </row>
    <row r="219" spans="1:25" ht="15.75" customHeight="1">
      <c r="A219" s="89"/>
      <c r="B219" s="89"/>
      <c r="C219" s="89"/>
      <c r="D219" s="89"/>
      <c r="E219" s="89"/>
      <c r="F219" s="89"/>
      <c r="G219" s="89"/>
      <c r="H219" s="89"/>
      <c r="I219" s="89"/>
      <c r="J219" s="89"/>
      <c r="K219" s="89"/>
      <c r="L219" s="89"/>
      <c r="M219" s="89"/>
      <c r="N219" s="89"/>
      <c r="O219" s="89"/>
      <c r="P219" s="89"/>
      <c r="Q219" s="89"/>
      <c r="R219" s="89"/>
      <c r="S219" s="89"/>
      <c r="T219" s="89"/>
      <c r="U219" s="89"/>
      <c r="V219" s="89"/>
      <c r="W219" s="89"/>
      <c r="X219" s="89"/>
      <c r="Y219" s="89"/>
    </row>
    <row r="220" spans="1:25" ht="15.75" customHeight="1">
      <c r="A220" s="89"/>
      <c r="B220" s="89"/>
      <c r="C220" s="89"/>
      <c r="D220" s="89"/>
      <c r="E220" s="89"/>
      <c r="F220" s="89"/>
      <c r="G220" s="89"/>
      <c r="H220" s="89"/>
      <c r="I220" s="89"/>
      <c r="J220" s="89"/>
      <c r="K220" s="89"/>
      <c r="L220" s="89"/>
      <c r="M220" s="89"/>
      <c r="N220" s="89"/>
      <c r="O220" s="89"/>
      <c r="P220" s="89"/>
      <c r="Q220" s="89"/>
      <c r="R220" s="89"/>
      <c r="S220" s="89"/>
      <c r="T220" s="89"/>
      <c r="U220" s="89"/>
      <c r="V220" s="89"/>
      <c r="W220" s="89"/>
      <c r="X220" s="89"/>
      <c r="Y220" s="89"/>
    </row>
    <row r="221" spans="1:25" ht="15.75" customHeight="1">
      <c r="A221" s="89"/>
      <c r="B221" s="89"/>
      <c r="C221" s="89"/>
      <c r="D221" s="89"/>
      <c r="E221" s="89"/>
      <c r="F221" s="89"/>
      <c r="G221" s="89"/>
      <c r="H221" s="89"/>
      <c r="I221" s="89"/>
      <c r="J221" s="89"/>
      <c r="K221" s="89"/>
      <c r="L221" s="89"/>
      <c r="M221" s="89"/>
      <c r="N221" s="89"/>
      <c r="O221" s="89"/>
      <c r="P221" s="89"/>
      <c r="Q221" s="89"/>
      <c r="R221" s="89"/>
      <c r="S221" s="89"/>
      <c r="T221" s="89"/>
      <c r="U221" s="89"/>
      <c r="V221" s="89"/>
      <c r="W221" s="89"/>
      <c r="X221" s="89"/>
      <c r="Y221" s="89"/>
    </row>
    <row r="222" spans="1:25" ht="15.75" customHeight="1">
      <c r="A222" s="89"/>
      <c r="B222" s="89"/>
      <c r="C222" s="89"/>
      <c r="D222" s="89"/>
      <c r="E222" s="89"/>
      <c r="F222" s="89"/>
      <c r="G222" s="89"/>
      <c r="H222" s="89"/>
      <c r="I222" s="89"/>
      <c r="J222" s="89"/>
      <c r="K222" s="89"/>
      <c r="L222" s="89"/>
      <c r="M222" s="89"/>
      <c r="N222" s="89"/>
      <c r="O222" s="89"/>
      <c r="P222" s="89"/>
      <c r="Q222" s="89"/>
      <c r="R222" s="89"/>
      <c r="S222" s="89"/>
      <c r="T222" s="89"/>
      <c r="U222" s="89"/>
      <c r="V222" s="89"/>
      <c r="W222" s="89"/>
      <c r="X222" s="89"/>
      <c r="Y222" s="89"/>
    </row>
    <row r="223" spans="1:25" ht="15.75" customHeight="1">
      <c r="A223" s="89"/>
      <c r="B223" s="89"/>
      <c r="C223" s="89"/>
      <c r="D223" s="89"/>
      <c r="E223" s="89"/>
      <c r="F223" s="89"/>
      <c r="G223" s="89"/>
      <c r="H223" s="89"/>
      <c r="I223" s="89"/>
      <c r="J223" s="89"/>
      <c r="K223" s="89"/>
      <c r="L223" s="89"/>
      <c r="M223" s="89"/>
      <c r="N223" s="89"/>
      <c r="O223" s="89"/>
      <c r="P223" s="89"/>
      <c r="Q223" s="89"/>
      <c r="R223" s="89"/>
      <c r="S223" s="89"/>
      <c r="T223" s="89"/>
      <c r="U223" s="89"/>
      <c r="V223" s="89"/>
      <c r="W223" s="89"/>
      <c r="X223" s="89"/>
      <c r="Y223" s="89"/>
    </row>
    <row r="224" spans="1:25" ht="15.75" customHeight="1">
      <c r="A224" s="89"/>
      <c r="B224" s="89"/>
      <c r="C224" s="89"/>
      <c r="D224" s="89"/>
      <c r="E224" s="89"/>
      <c r="F224" s="89"/>
      <c r="G224" s="89"/>
      <c r="H224" s="89"/>
      <c r="I224" s="89"/>
      <c r="J224" s="89"/>
      <c r="K224" s="89"/>
      <c r="L224" s="89"/>
      <c r="M224" s="89"/>
      <c r="N224" s="89"/>
      <c r="O224" s="89"/>
      <c r="P224" s="89"/>
      <c r="Q224" s="89"/>
      <c r="R224" s="89"/>
      <c r="S224" s="89"/>
      <c r="T224" s="89"/>
      <c r="U224" s="89"/>
      <c r="V224" s="89"/>
      <c r="W224" s="89"/>
      <c r="X224" s="89"/>
      <c r="Y224" s="89"/>
    </row>
    <row r="225" spans="1:25" ht="15.75" customHeight="1">
      <c r="A225" s="89"/>
      <c r="B225" s="89"/>
      <c r="C225" s="89"/>
      <c r="D225" s="89"/>
      <c r="E225" s="89"/>
      <c r="F225" s="89"/>
      <c r="G225" s="89"/>
      <c r="H225" s="89"/>
      <c r="I225" s="89"/>
      <c r="J225" s="89"/>
      <c r="K225" s="89"/>
      <c r="L225" s="89"/>
      <c r="M225" s="89"/>
      <c r="N225" s="89"/>
      <c r="O225" s="89"/>
      <c r="P225" s="89"/>
      <c r="Q225" s="89"/>
      <c r="R225" s="89"/>
      <c r="S225" s="89"/>
      <c r="T225" s="89"/>
      <c r="U225" s="89"/>
      <c r="V225" s="89"/>
      <c r="W225" s="89"/>
      <c r="X225" s="89"/>
      <c r="Y225" s="89"/>
    </row>
    <row r="226" spans="1:25" ht="15.75" customHeight="1">
      <c r="A226" s="89"/>
      <c r="B226" s="89"/>
      <c r="C226" s="89"/>
      <c r="D226" s="89"/>
      <c r="E226" s="89"/>
      <c r="F226" s="89"/>
      <c r="G226" s="89"/>
      <c r="H226" s="89"/>
      <c r="I226" s="89"/>
      <c r="J226" s="89"/>
      <c r="K226" s="89"/>
      <c r="L226" s="89"/>
      <c r="M226" s="89"/>
      <c r="N226" s="89"/>
      <c r="O226" s="89"/>
      <c r="P226" s="89"/>
      <c r="Q226" s="89"/>
      <c r="R226" s="89"/>
      <c r="S226" s="89"/>
      <c r="T226" s="89"/>
      <c r="U226" s="89"/>
      <c r="V226" s="89"/>
      <c r="W226" s="89"/>
      <c r="X226" s="89"/>
      <c r="Y226" s="89"/>
    </row>
    <row r="227" spans="1:25" ht="15.75" customHeight="1">
      <c r="A227" s="89"/>
      <c r="B227" s="89"/>
      <c r="C227" s="89"/>
      <c r="D227" s="89"/>
      <c r="E227" s="89"/>
      <c r="F227" s="89"/>
      <c r="G227" s="89"/>
      <c r="H227" s="89"/>
      <c r="I227" s="89"/>
      <c r="J227" s="89"/>
      <c r="K227" s="89"/>
      <c r="L227" s="89"/>
      <c r="M227" s="89"/>
      <c r="N227" s="89"/>
      <c r="O227" s="89"/>
      <c r="P227" s="89"/>
      <c r="Q227" s="89"/>
      <c r="R227" s="89"/>
      <c r="S227" s="89"/>
      <c r="T227" s="89"/>
      <c r="U227" s="89"/>
      <c r="V227" s="89"/>
      <c r="W227" s="89"/>
      <c r="X227" s="89"/>
      <c r="Y227" s="89"/>
    </row>
    <row r="228" spans="1:25" ht="15.75" customHeight="1">
      <c r="A228" s="89"/>
      <c r="B228" s="89"/>
      <c r="C228" s="89"/>
      <c r="D228" s="89"/>
      <c r="E228" s="89"/>
      <c r="F228" s="89"/>
      <c r="G228" s="89"/>
      <c r="H228" s="89"/>
      <c r="I228" s="89"/>
      <c r="J228" s="89"/>
      <c r="K228" s="89"/>
      <c r="L228" s="89"/>
      <c r="M228" s="89"/>
      <c r="N228" s="89"/>
      <c r="O228" s="89"/>
      <c r="P228" s="89"/>
      <c r="Q228" s="89"/>
      <c r="R228" s="89"/>
      <c r="S228" s="89"/>
      <c r="T228" s="89"/>
      <c r="U228" s="89"/>
      <c r="V228" s="89"/>
      <c r="W228" s="89"/>
      <c r="X228" s="89"/>
      <c r="Y228" s="89"/>
    </row>
    <row r="229" spans="1:25" ht="15.75" customHeight="1">
      <c r="A229" s="89"/>
      <c r="B229" s="89"/>
      <c r="C229" s="89"/>
      <c r="D229" s="89"/>
      <c r="E229" s="89"/>
      <c r="F229" s="89"/>
      <c r="G229" s="89"/>
      <c r="H229" s="89"/>
      <c r="I229" s="89"/>
      <c r="J229" s="89"/>
      <c r="K229" s="89"/>
      <c r="L229" s="89"/>
      <c r="M229" s="89"/>
      <c r="N229" s="89"/>
      <c r="O229" s="89"/>
      <c r="P229" s="89"/>
      <c r="Q229" s="89"/>
      <c r="R229" s="89"/>
      <c r="S229" s="89"/>
      <c r="T229" s="89"/>
      <c r="U229" s="89"/>
      <c r="V229" s="89"/>
      <c r="W229" s="89"/>
      <c r="X229" s="89"/>
      <c r="Y229" s="89"/>
    </row>
    <row r="230" spans="1:25" ht="15.75" customHeight="1">
      <c r="A230" s="89"/>
      <c r="B230" s="89"/>
      <c r="C230" s="89"/>
      <c r="D230" s="89"/>
      <c r="E230" s="89"/>
      <c r="F230" s="89"/>
      <c r="G230" s="89"/>
      <c r="H230" s="89"/>
      <c r="I230" s="89"/>
      <c r="J230" s="89"/>
      <c r="K230" s="89"/>
      <c r="L230" s="89"/>
      <c r="M230" s="89"/>
      <c r="N230" s="89"/>
      <c r="O230" s="89"/>
      <c r="P230" s="89"/>
      <c r="Q230" s="89"/>
      <c r="R230" s="89"/>
      <c r="S230" s="89"/>
      <c r="T230" s="89"/>
      <c r="U230" s="89"/>
      <c r="V230" s="89"/>
      <c r="W230" s="89"/>
      <c r="X230" s="89"/>
      <c r="Y230" s="89"/>
    </row>
    <row r="231" spans="1:25" ht="15.75" customHeight="1">
      <c r="A231" s="89"/>
      <c r="B231" s="89"/>
      <c r="C231" s="89"/>
      <c r="D231" s="89"/>
      <c r="E231" s="89"/>
      <c r="F231" s="89"/>
      <c r="G231" s="89"/>
      <c r="H231" s="89"/>
      <c r="I231" s="89"/>
      <c r="J231" s="89"/>
      <c r="K231" s="89"/>
      <c r="L231" s="89"/>
      <c r="M231" s="89"/>
      <c r="N231" s="89"/>
      <c r="O231" s="89"/>
      <c r="P231" s="89"/>
      <c r="Q231" s="89"/>
      <c r="R231" s="89"/>
      <c r="S231" s="89"/>
      <c r="T231" s="89"/>
      <c r="U231" s="89"/>
      <c r="V231" s="89"/>
      <c r="W231" s="89"/>
      <c r="X231" s="89"/>
      <c r="Y231" s="89"/>
    </row>
    <row r="232" spans="1:25" ht="15.75" customHeight="1">
      <c r="A232" s="89"/>
      <c r="B232" s="89"/>
      <c r="C232" s="89"/>
      <c r="D232" s="89"/>
      <c r="E232" s="89"/>
      <c r="F232" s="89"/>
      <c r="G232" s="89"/>
      <c r="H232" s="89"/>
      <c r="I232" s="89"/>
      <c r="J232" s="89"/>
      <c r="K232" s="89"/>
      <c r="L232" s="89"/>
      <c r="M232" s="89"/>
      <c r="N232" s="89"/>
      <c r="O232" s="89"/>
      <c r="P232" s="89"/>
      <c r="Q232" s="89"/>
      <c r="R232" s="89"/>
      <c r="S232" s="89"/>
      <c r="T232" s="89"/>
      <c r="U232" s="89"/>
      <c r="V232" s="89"/>
      <c r="W232" s="89"/>
      <c r="X232" s="89"/>
      <c r="Y232" s="89"/>
    </row>
    <row r="233" spans="1:25" ht="15.75" customHeight="1">
      <c r="A233" s="89"/>
      <c r="B233" s="89"/>
      <c r="C233" s="89"/>
      <c r="D233" s="89"/>
      <c r="E233" s="89"/>
      <c r="F233" s="89"/>
      <c r="G233" s="89"/>
      <c r="H233" s="89"/>
      <c r="I233" s="89"/>
      <c r="J233" s="89"/>
      <c r="K233" s="89"/>
      <c r="L233" s="89"/>
      <c r="M233" s="89"/>
      <c r="N233" s="89"/>
      <c r="O233" s="89"/>
      <c r="P233" s="89"/>
      <c r="Q233" s="89"/>
      <c r="R233" s="89"/>
      <c r="S233" s="89"/>
      <c r="T233" s="89"/>
      <c r="U233" s="89"/>
      <c r="V233" s="89"/>
      <c r="W233" s="89"/>
      <c r="X233" s="89"/>
      <c r="Y233" s="89"/>
    </row>
    <row r="234" spans="1:25" ht="15.75" customHeight="1">
      <c r="A234" s="89"/>
      <c r="B234" s="89"/>
      <c r="C234" s="89"/>
      <c r="D234" s="89"/>
      <c r="E234" s="89"/>
      <c r="F234" s="89"/>
      <c r="G234" s="89"/>
      <c r="H234" s="89"/>
      <c r="I234" s="89"/>
      <c r="J234" s="89"/>
      <c r="K234" s="89"/>
      <c r="L234" s="89"/>
      <c r="M234" s="89"/>
      <c r="N234" s="89"/>
      <c r="O234" s="89"/>
      <c r="P234" s="89"/>
      <c r="Q234" s="89"/>
      <c r="R234" s="89"/>
      <c r="S234" s="89"/>
      <c r="T234" s="89"/>
      <c r="U234" s="89"/>
      <c r="V234" s="89"/>
      <c r="W234" s="89"/>
      <c r="X234" s="89"/>
      <c r="Y234" s="89"/>
    </row>
    <row r="235" spans="1:25" ht="15.75" customHeight="1">
      <c r="A235" s="89"/>
      <c r="B235" s="89"/>
      <c r="C235" s="89"/>
      <c r="D235" s="89"/>
      <c r="E235" s="89"/>
      <c r="F235" s="89"/>
      <c r="G235" s="89"/>
      <c r="H235" s="89"/>
      <c r="I235" s="89"/>
      <c r="J235" s="89"/>
      <c r="K235" s="89"/>
      <c r="L235" s="89"/>
      <c r="M235" s="89"/>
      <c r="N235" s="89"/>
      <c r="O235" s="89"/>
      <c r="P235" s="89"/>
      <c r="Q235" s="89"/>
      <c r="R235" s="89"/>
      <c r="S235" s="89"/>
      <c r="T235" s="89"/>
      <c r="U235" s="89"/>
      <c r="V235" s="89"/>
      <c r="W235" s="89"/>
      <c r="X235" s="89"/>
      <c r="Y235" s="89"/>
    </row>
    <row r="236" spans="1:25" ht="15.75" customHeight="1">
      <c r="A236" s="89"/>
      <c r="B236" s="89"/>
      <c r="C236" s="89"/>
      <c r="D236" s="89"/>
      <c r="E236" s="89"/>
      <c r="F236" s="89"/>
      <c r="G236" s="89"/>
      <c r="H236" s="89"/>
      <c r="I236" s="89"/>
      <c r="J236" s="89"/>
      <c r="K236" s="89"/>
      <c r="L236" s="89"/>
      <c r="M236" s="89"/>
      <c r="N236" s="89"/>
      <c r="O236" s="89"/>
      <c r="P236" s="89"/>
      <c r="Q236" s="89"/>
      <c r="R236" s="89"/>
      <c r="S236" s="89"/>
      <c r="T236" s="89"/>
      <c r="U236" s="89"/>
      <c r="V236" s="89"/>
      <c r="W236" s="89"/>
      <c r="X236" s="89"/>
      <c r="Y236" s="89"/>
    </row>
    <row r="237" spans="1:25" ht="15.75" customHeight="1">
      <c r="A237" s="89"/>
      <c r="B237" s="89"/>
      <c r="C237" s="89"/>
      <c r="D237" s="89"/>
      <c r="E237" s="89"/>
      <c r="F237" s="89"/>
      <c r="G237" s="89"/>
      <c r="H237" s="89"/>
      <c r="I237" s="89"/>
      <c r="J237" s="89"/>
      <c r="K237" s="89"/>
      <c r="L237" s="89"/>
      <c r="M237" s="89"/>
      <c r="N237" s="89"/>
      <c r="O237" s="89"/>
      <c r="P237" s="89"/>
      <c r="Q237" s="89"/>
      <c r="R237" s="89"/>
      <c r="S237" s="89"/>
      <c r="T237" s="89"/>
      <c r="U237" s="89"/>
      <c r="V237" s="89"/>
      <c r="W237" s="89"/>
      <c r="X237" s="89"/>
      <c r="Y237" s="89"/>
    </row>
    <row r="238" spans="1:25" ht="15.75" customHeight="1">
      <c r="A238" s="89"/>
      <c r="B238" s="89"/>
      <c r="C238" s="89"/>
      <c r="D238" s="89"/>
      <c r="E238" s="89"/>
      <c r="F238" s="89"/>
      <c r="G238" s="89"/>
      <c r="H238" s="89"/>
      <c r="I238" s="89"/>
      <c r="J238" s="89"/>
      <c r="K238" s="89"/>
      <c r="L238" s="89"/>
      <c r="M238" s="89"/>
      <c r="N238" s="89"/>
      <c r="O238" s="89"/>
      <c r="P238" s="89"/>
      <c r="Q238" s="89"/>
      <c r="R238" s="89"/>
      <c r="S238" s="89"/>
      <c r="T238" s="89"/>
      <c r="U238" s="89"/>
      <c r="V238" s="89"/>
      <c r="W238" s="89"/>
      <c r="X238" s="89"/>
      <c r="Y238" s="89"/>
    </row>
    <row r="239" spans="1:25" ht="15.75" customHeight="1"/>
    <row r="240" spans="1:25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37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  <pageSetUpPr fitToPage="1"/>
  </sheetPr>
  <dimension ref="A1:AL1000"/>
  <sheetViews>
    <sheetView workbookViewId="0"/>
  </sheetViews>
  <sheetFormatPr defaultColWidth="12.5703125" defaultRowHeight="15" customHeight="1"/>
  <cols>
    <col min="1" max="1" width="48.42578125" customWidth="1"/>
    <col min="2" max="2" width="16.42578125" customWidth="1"/>
    <col min="3" max="4" width="14.7109375" customWidth="1"/>
    <col min="5" max="5" width="18" customWidth="1"/>
    <col min="6" max="6" width="18.85546875" customWidth="1"/>
    <col min="7" max="7" width="18.7109375" customWidth="1"/>
  </cols>
  <sheetData>
    <row r="1" spans="1:8" ht="15.75" customHeight="1">
      <c r="A1" s="13" t="s">
        <v>304</v>
      </c>
      <c r="B1" s="25" t="s">
        <v>305</v>
      </c>
      <c r="C1" s="25" t="s">
        <v>306</v>
      </c>
      <c r="D1" s="25" t="s">
        <v>307</v>
      </c>
      <c r="E1" s="25" t="s">
        <v>308</v>
      </c>
      <c r="F1" s="25" t="s">
        <v>309</v>
      </c>
      <c r="G1" s="25" t="s">
        <v>310</v>
      </c>
    </row>
    <row r="2" spans="1:8" ht="15.75" customHeight="1">
      <c r="A2" s="8" t="s">
        <v>311</v>
      </c>
      <c r="B2" s="13"/>
      <c r="C2" s="13"/>
      <c r="D2" s="95"/>
      <c r="E2" s="95"/>
      <c r="F2" s="95"/>
      <c r="G2" s="95"/>
    </row>
    <row r="3" spans="1:8" ht="15.75" customHeight="1">
      <c r="A3" s="24">
        <v>1</v>
      </c>
      <c r="B3" s="24">
        <v>7000</v>
      </c>
      <c r="C3" s="24">
        <v>6000</v>
      </c>
      <c r="D3" s="35">
        <v>6000</v>
      </c>
      <c r="E3" s="35">
        <v>7000</v>
      </c>
      <c r="F3" s="35">
        <v>7700</v>
      </c>
      <c r="G3" s="35">
        <v>7700</v>
      </c>
      <c r="H3" s="96" t="s">
        <v>312</v>
      </c>
    </row>
    <row r="4" spans="1:8" ht="15.75" customHeight="1">
      <c r="A4" s="24" t="s">
        <v>313</v>
      </c>
      <c r="B4" s="24">
        <v>7000</v>
      </c>
      <c r="C4" s="24">
        <v>6000</v>
      </c>
      <c r="D4" s="35">
        <v>6000</v>
      </c>
      <c r="E4" s="35">
        <v>7000</v>
      </c>
      <c r="F4" s="35">
        <v>7700</v>
      </c>
      <c r="G4" s="35">
        <v>7700</v>
      </c>
    </row>
    <row r="5" spans="1:8" ht="15.75" customHeight="1">
      <c r="A5" s="24" t="s">
        <v>314</v>
      </c>
      <c r="B5" s="24">
        <v>6900</v>
      </c>
      <c r="C5" s="24">
        <v>6000</v>
      </c>
      <c r="D5" s="35">
        <v>6000</v>
      </c>
      <c r="E5" s="35">
        <v>6800</v>
      </c>
      <c r="F5" s="35">
        <v>7500</v>
      </c>
      <c r="G5" s="35">
        <v>7500</v>
      </c>
    </row>
    <row r="6" spans="1:8" ht="15.75" customHeight="1">
      <c r="A6" s="24">
        <v>4</v>
      </c>
      <c r="B6" s="24">
        <v>6800</v>
      </c>
      <c r="C6" s="24">
        <v>6000</v>
      </c>
      <c r="D6" s="35">
        <v>6000</v>
      </c>
      <c r="E6" s="35">
        <v>6800</v>
      </c>
      <c r="F6" s="35">
        <v>7500</v>
      </c>
      <c r="G6" s="35">
        <v>7400</v>
      </c>
    </row>
    <row r="7" spans="1:8" ht="15.75" customHeight="1">
      <c r="A7" s="24">
        <v>5</v>
      </c>
      <c r="B7" s="24">
        <v>6800</v>
      </c>
      <c r="C7" s="24">
        <v>6000</v>
      </c>
      <c r="D7" s="35">
        <v>6000</v>
      </c>
      <c r="E7" s="35">
        <v>6800</v>
      </c>
      <c r="F7" s="35">
        <v>7400</v>
      </c>
      <c r="G7" s="35">
        <v>7300</v>
      </c>
    </row>
    <row r="8" spans="1:8" ht="15.75" customHeight="1">
      <c r="A8" s="24">
        <v>6</v>
      </c>
      <c r="B8" s="24">
        <v>6700</v>
      </c>
      <c r="C8" s="24">
        <v>6000</v>
      </c>
      <c r="D8" s="35">
        <v>6000</v>
      </c>
      <c r="E8" s="35">
        <v>6800</v>
      </c>
      <c r="F8" s="35">
        <v>7300</v>
      </c>
      <c r="G8" s="35">
        <v>7200</v>
      </c>
    </row>
    <row r="9" spans="1:8" ht="15.75" customHeight="1">
      <c r="A9" s="24">
        <v>8</v>
      </c>
      <c r="B9" s="24">
        <v>6700</v>
      </c>
      <c r="C9" s="24">
        <v>6000</v>
      </c>
      <c r="D9" s="35">
        <v>6000</v>
      </c>
      <c r="E9" s="35">
        <v>6800</v>
      </c>
      <c r="F9" s="35">
        <v>7300</v>
      </c>
      <c r="G9" s="35">
        <v>7200</v>
      </c>
    </row>
    <row r="10" spans="1:8" ht="15.75" customHeight="1">
      <c r="A10" s="24">
        <v>10</v>
      </c>
      <c r="B10" s="24">
        <v>6700</v>
      </c>
      <c r="C10" s="24">
        <v>6000</v>
      </c>
      <c r="D10" s="35">
        <v>6000</v>
      </c>
      <c r="E10" s="35">
        <v>6700</v>
      </c>
      <c r="F10" s="35">
        <v>7300</v>
      </c>
      <c r="G10" s="35">
        <v>7200</v>
      </c>
    </row>
    <row r="11" spans="1:8" ht="15.75" customHeight="1">
      <c r="A11" s="24">
        <v>15</v>
      </c>
      <c r="B11" s="24">
        <v>6600</v>
      </c>
      <c r="C11" s="24">
        <v>5800</v>
      </c>
      <c r="D11" s="35">
        <v>5500</v>
      </c>
      <c r="E11" s="35">
        <v>6600</v>
      </c>
      <c r="F11" s="35">
        <v>7200</v>
      </c>
      <c r="G11" s="35">
        <v>7100</v>
      </c>
    </row>
    <row r="12" spans="1:8" ht="15.75" customHeight="1">
      <c r="A12" s="24">
        <v>20</v>
      </c>
      <c r="B12" s="24">
        <v>6500</v>
      </c>
      <c r="C12" s="24">
        <v>5800</v>
      </c>
      <c r="D12" s="35">
        <v>5500</v>
      </c>
      <c r="E12" s="35">
        <v>6600</v>
      </c>
      <c r="F12" s="35">
        <v>7200</v>
      </c>
      <c r="G12" s="35">
        <v>7100</v>
      </c>
    </row>
    <row r="13" spans="1:8" ht="15.75" customHeight="1">
      <c r="A13" s="24">
        <v>25</v>
      </c>
      <c r="B13" s="24">
        <v>6500</v>
      </c>
      <c r="C13" s="24">
        <v>5700</v>
      </c>
      <c r="D13" s="35">
        <v>5500</v>
      </c>
      <c r="E13" s="35">
        <v>6500</v>
      </c>
      <c r="F13" s="35">
        <v>7100</v>
      </c>
      <c r="G13" s="35">
        <v>7000</v>
      </c>
    </row>
    <row r="14" spans="1:8" ht="15.75" customHeight="1">
      <c r="A14" s="24">
        <v>30</v>
      </c>
      <c r="B14" s="24">
        <v>6400</v>
      </c>
      <c r="C14" s="24">
        <v>5700</v>
      </c>
      <c r="D14" s="35">
        <v>5500</v>
      </c>
      <c r="E14" s="35">
        <v>6500</v>
      </c>
      <c r="F14" s="35">
        <v>7100</v>
      </c>
      <c r="G14" s="35">
        <v>7000</v>
      </c>
    </row>
    <row r="15" spans="1:8" ht="15.75" customHeight="1">
      <c r="A15" s="24">
        <v>38</v>
      </c>
      <c r="B15" s="24">
        <v>6400</v>
      </c>
      <c r="C15" s="24">
        <v>5700</v>
      </c>
      <c r="D15" s="35">
        <v>5500</v>
      </c>
      <c r="E15" s="35">
        <v>6400</v>
      </c>
      <c r="F15" s="35">
        <v>7000</v>
      </c>
      <c r="G15" s="35">
        <v>7000</v>
      </c>
    </row>
    <row r="16" spans="1:8" ht="15.75" customHeight="1">
      <c r="A16" s="24">
        <v>40</v>
      </c>
      <c r="B16" s="24">
        <v>6300</v>
      </c>
      <c r="C16" s="24">
        <v>5700</v>
      </c>
      <c r="D16" s="35">
        <v>5500</v>
      </c>
      <c r="E16" s="35">
        <v>6400</v>
      </c>
      <c r="F16" s="35">
        <v>7000</v>
      </c>
      <c r="G16" s="35">
        <v>7000</v>
      </c>
    </row>
    <row r="17" spans="1:7" ht="15.75" customHeight="1">
      <c r="A17" s="24">
        <v>50</v>
      </c>
      <c r="B17" s="24">
        <v>6300</v>
      </c>
      <c r="C17" s="24">
        <v>5700</v>
      </c>
      <c r="D17" s="35">
        <v>5500</v>
      </c>
      <c r="E17" s="35">
        <v>6300</v>
      </c>
      <c r="F17" s="35">
        <v>6900</v>
      </c>
      <c r="G17" s="35">
        <v>6900</v>
      </c>
    </row>
    <row r="18" spans="1:7" ht="15.75" customHeight="1">
      <c r="A18" s="24">
        <v>60</v>
      </c>
      <c r="B18" s="24">
        <v>6200</v>
      </c>
      <c r="C18" s="24">
        <v>5700</v>
      </c>
      <c r="D18" s="35">
        <v>5500</v>
      </c>
      <c r="E18" s="35">
        <v>6300</v>
      </c>
      <c r="F18" s="35">
        <v>6900</v>
      </c>
      <c r="G18" s="35">
        <v>6900</v>
      </c>
    </row>
    <row r="19" spans="1:7" ht="15.75" customHeight="1">
      <c r="A19" s="24">
        <v>70</v>
      </c>
      <c r="B19" s="24">
        <v>6200</v>
      </c>
      <c r="C19" s="24">
        <v>5700</v>
      </c>
      <c r="D19" s="35">
        <v>5500</v>
      </c>
      <c r="E19" s="35">
        <v>6300</v>
      </c>
      <c r="F19" s="35">
        <v>6900</v>
      </c>
      <c r="G19" s="35">
        <v>6900</v>
      </c>
    </row>
    <row r="20" spans="1:7" ht="15.75" customHeight="1">
      <c r="A20" s="24">
        <v>75</v>
      </c>
      <c r="B20" s="24">
        <v>6200</v>
      </c>
      <c r="C20" s="24">
        <v>5700</v>
      </c>
      <c r="D20" s="35">
        <v>5500</v>
      </c>
      <c r="E20" s="35">
        <v>6200</v>
      </c>
      <c r="F20" s="35">
        <v>6700</v>
      </c>
      <c r="G20" s="35">
        <v>6900</v>
      </c>
    </row>
    <row r="21" spans="1:7" ht="15.75" customHeight="1">
      <c r="A21" s="24">
        <v>80</v>
      </c>
      <c r="B21" s="24">
        <v>6200</v>
      </c>
      <c r="C21" s="24">
        <v>5600</v>
      </c>
      <c r="D21" s="35">
        <v>5500</v>
      </c>
      <c r="E21" s="35">
        <v>6200</v>
      </c>
      <c r="F21" s="35">
        <v>6700</v>
      </c>
      <c r="G21" s="35">
        <v>6900</v>
      </c>
    </row>
    <row r="22" spans="1:7" ht="15.75" customHeight="1">
      <c r="A22" s="24">
        <v>90</v>
      </c>
      <c r="B22" s="24">
        <v>6200</v>
      </c>
      <c r="C22" s="24">
        <v>5600</v>
      </c>
      <c r="D22" s="35">
        <v>5500</v>
      </c>
      <c r="E22" s="35">
        <v>6200</v>
      </c>
      <c r="F22" s="35">
        <v>6700</v>
      </c>
      <c r="G22" s="35">
        <v>6700</v>
      </c>
    </row>
    <row r="23" spans="1:7" ht="15.75" customHeight="1">
      <c r="A23" s="24">
        <v>100</v>
      </c>
      <c r="B23" s="24">
        <v>6200</v>
      </c>
      <c r="C23" s="24">
        <v>5600</v>
      </c>
      <c r="D23" s="35">
        <v>5500</v>
      </c>
      <c r="E23" s="35">
        <v>6200</v>
      </c>
      <c r="F23" s="35">
        <v>6700</v>
      </c>
      <c r="G23" s="35">
        <v>6700</v>
      </c>
    </row>
    <row r="24" spans="1:7" ht="15.75" customHeight="1">
      <c r="A24" s="24">
        <v>120</v>
      </c>
      <c r="B24" s="24">
        <v>6100</v>
      </c>
      <c r="C24" s="24">
        <v>5600</v>
      </c>
      <c r="D24" s="35">
        <v>5400</v>
      </c>
      <c r="E24" s="35">
        <v>6200</v>
      </c>
      <c r="F24" s="35">
        <v>6700</v>
      </c>
      <c r="G24" s="35">
        <v>6700</v>
      </c>
    </row>
    <row r="25" spans="1:7" ht="15.75" customHeight="1">
      <c r="A25" s="97">
        <v>125</v>
      </c>
      <c r="B25" s="24">
        <v>6100</v>
      </c>
      <c r="C25" s="24">
        <v>5600</v>
      </c>
      <c r="D25" s="35">
        <v>5400</v>
      </c>
      <c r="E25" s="35">
        <v>6000</v>
      </c>
      <c r="F25" s="35">
        <v>6700</v>
      </c>
      <c r="G25" s="35">
        <v>6700</v>
      </c>
    </row>
    <row r="26" spans="1:7" ht="15.75" customHeight="1">
      <c r="A26" s="97">
        <v>140</v>
      </c>
      <c r="B26" s="24">
        <v>6000</v>
      </c>
      <c r="C26" s="24">
        <v>5500</v>
      </c>
      <c r="D26" s="35">
        <v>5400</v>
      </c>
      <c r="E26" s="35">
        <v>6000</v>
      </c>
      <c r="F26" s="35">
        <v>6700</v>
      </c>
      <c r="G26" s="35">
        <v>6700</v>
      </c>
    </row>
    <row r="27" spans="1:7" ht="15.75" customHeight="1">
      <c r="A27" s="97">
        <v>150</v>
      </c>
      <c r="B27" s="24">
        <v>6000</v>
      </c>
      <c r="C27" s="24">
        <v>5500</v>
      </c>
      <c r="D27" s="35">
        <v>5400</v>
      </c>
      <c r="E27" s="35">
        <v>6000</v>
      </c>
      <c r="F27" s="35">
        <v>6700</v>
      </c>
      <c r="G27" s="35">
        <v>6700</v>
      </c>
    </row>
    <row r="28" spans="1:7" ht="15.75" customHeight="1">
      <c r="A28" s="24">
        <v>160</v>
      </c>
      <c r="B28" s="24">
        <v>5800</v>
      </c>
      <c r="C28" s="24">
        <v>5500</v>
      </c>
      <c r="D28" s="35">
        <v>5300</v>
      </c>
      <c r="E28" s="35">
        <v>5800</v>
      </c>
      <c r="F28" s="35">
        <v>6700</v>
      </c>
      <c r="G28" s="35">
        <v>6700</v>
      </c>
    </row>
    <row r="29" spans="1:7" ht="15.75" customHeight="1">
      <c r="A29" s="24">
        <v>175</v>
      </c>
      <c r="B29" s="24">
        <v>5800</v>
      </c>
      <c r="C29" s="24">
        <v>5500</v>
      </c>
      <c r="D29" s="35">
        <v>5300</v>
      </c>
      <c r="E29" s="35">
        <v>5800</v>
      </c>
      <c r="F29" s="35">
        <v>6500</v>
      </c>
      <c r="G29" s="35">
        <v>6500</v>
      </c>
    </row>
    <row r="30" spans="1:7" ht="15.75" customHeight="1">
      <c r="A30" s="24">
        <v>180</v>
      </c>
      <c r="B30" s="24">
        <v>5800</v>
      </c>
      <c r="C30" s="24">
        <v>5400</v>
      </c>
      <c r="D30" s="35">
        <v>5300</v>
      </c>
      <c r="E30" s="35">
        <v>5800</v>
      </c>
      <c r="F30" s="35">
        <v>6500</v>
      </c>
      <c r="G30" s="35">
        <v>6500</v>
      </c>
    </row>
    <row r="31" spans="1:7" ht="15.75" customHeight="1">
      <c r="A31" s="24">
        <v>200</v>
      </c>
      <c r="B31" s="24">
        <v>5800</v>
      </c>
      <c r="C31" s="24">
        <v>5400</v>
      </c>
      <c r="D31" s="35">
        <v>5300</v>
      </c>
      <c r="E31" s="35">
        <v>5800</v>
      </c>
      <c r="F31" s="35">
        <v>6300</v>
      </c>
      <c r="G31" s="35">
        <v>6300</v>
      </c>
    </row>
    <row r="32" spans="1:7" ht="15.75" customHeight="1">
      <c r="A32" s="24">
        <v>250</v>
      </c>
      <c r="B32" s="24">
        <v>5600</v>
      </c>
      <c r="C32" s="24">
        <v>5200</v>
      </c>
      <c r="D32" s="35">
        <v>5200</v>
      </c>
      <c r="E32" s="35">
        <v>5600</v>
      </c>
      <c r="F32" s="35">
        <v>6100</v>
      </c>
      <c r="G32" s="35">
        <v>6100</v>
      </c>
    </row>
    <row r="33" spans="1:7" ht="15.75" customHeight="1">
      <c r="A33" s="24">
        <v>300</v>
      </c>
      <c r="B33" s="24">
        <v>5400</v>
      </c>
      <c r="C33" s="24">
        <v>5000</v>
      </c>
      <c r="D33" s="35">
        <v>5000</v>
      </c>
      <c r="E33" s="35">
        <v>5400</v>
      </c>
      <c r="F33" s="35">
        <v>5900</v>
      </c>
      <c r="G33" s="35">
        <v>5900</v>
      </c>
    </row>
    <row r="34" spans="1:7" ht="15.75" customHeight="1">
      <c r="A34" s="24">
        <v>350</v>
      </c>
      <c r="B34" s="24">
        <v>5200</v>
      </c>
      <c r="C34" s="24">
        <v>4800</v>
      </c>
      <c r="D34" s="35">
        <v>4800</v>
      </c>
      <c r="E34" s="35">
        <v>5200</v>
      </c>
      <c r="F34" s="35">
        <v>5700</v>
      </c>
      <c r="G34" s="35">
        <v>5700</v>
      </c>
    </row>
    <row r="35" spans="1:7" ht="15.75" customHeight="1">
      <c r="A35" s="24">
        <v>400</v>
      </c>
      <c r="B35" s="24">
        <v>5000</v>
      </c>
      <c r="C35" s="24">
        <v>4700</v>
      </c>
      <c r="D35" s="35">
        <v>4500</v>
      </c>
      <c r="E35" s="35">
        <v>5000</v>
      </c>
      <c r="F35" s="35">
        <v>5500</v>
      </c>
      <c r="G35" s="35">
        <v>5500</v>
      </c>
    </row>
    <row r="36" spans="1:7" ht="15.75" customHeight="1">
      <c r="A36" s="24">
        <v>450</v>
      </c>
      <c r="B36" s="24">
        <v>5000</v>
      </c>
      <c r="C36" s="24">
        <v>4600</v>
      </c>
      <c r="D36" s="35">
        <v>4500</v>
      </c>
      <c r="E36" s="35">
        <v>5000</v>
      </c>
      <c r="F36" s="35">
        <v>5500</v>
      </c>
      <c r="G36" s="35">
        <v>5500</v>
      </c>
    </row>
    <row r="37" spans="1:7" ht="15.75" customHeight="1">
      <c r="A37" s="24">
        <v>475</v>
      </c>
      <c r="B37" s="24">
        <v>5000</v>
      </c>
      <c r="C37" s="24">
        <v>4600</v>
      </c>
      <c r="D37" s="35">
        <v>4500</v>
      </c>
      <c r="E37" s="35">
        <v>5000</v>
      </c>
      <c r="F37" s="35">
        <v>5500</v>
      </c>
      <c r="G37" s="35">
        <v>5500</v>
      </c>
    </row>
    <row r="38" spans="1:7" ht="15.75" customHeight="1">
      <c r="A38" s="21">
        <v>100000</v>
      </c>
      <c r="B38" s="98">
        <v>5000</v>
      </c>
      <c r="C38" s="98">
        <v>4600</v>
      </c>
      <c r="D38" s="35">
        <v>4500</v>
      </c>
      <c r="E38" s="35">
        <v>5000</v>
      </c>
      <c r="F38" s="35">
        <v>5500</v>
      </c>
      <c r="G38" s="35">
        <v>5500</v>
      </c>
    </row>
    <row r="39" spans="1:7" ht="15.75" customHeight="1"/>
    <row r="40" spans="1:7" ht="15.75" customHeight="1"/>
    <row r="41" spans="1:7" ht="15.75" customHeight="1">
      <c r="A41" s="7" t="s">
        <v>315</v>
      </c>
    </row>
    <row r="42" spans="1:7" ht="15.75" customHeight="1">
      <c r="A42" s="96" t="s">
        <v>316</v>
      </c>
    </row>
    <row r="43" spans="1:7" ht="15.75" customHeight="1"/>
    <row r="44" spans="1:7" ht="15.75" customHeight="1">
      <c r="A44" s="13" t="s">
        <v>317</v>
      </c>
      <c r="B44" s="99" t="s">
        <v>318</v>
      </c>
      <c r="C44" s="100" t="s">
        <v>319</v>
      </c>
      <c r="D44" s="101" t="s">
        <v>8</v>
      </c>
      <c r="E44" s="101" t="s">
        <v>320</v>
      </c>
      <c r="F44" s="101" t="s">
        <v>321</v>
      </c>
    </row>
    <row r="45" spans="1:7" ht="15.75" customHeight="1">
      <c r="A45" s="8" t="s">
        <v>322</v>
      </c>
      <c r="B45" s="13"/>
    </row>
    <row r="46" spans="1:7" ht="15.75" customHeight="1">
      <c r="A46" s="21">
        <v>1</v>
      </c>
      <c r="B46" s="102">
        <v>4000</v>
      </c>
      <c r="C46" s="103">
        <v>6000</v>
      </c>
      <c r="D46" s="103">
        <v>8000</v>
      </c>
      <c r="E46" s="103">
        <v>12000</v>
      </c>
      <c r="F46" s="103">
        <v>16000</v>
      </c>
    </row>
    <row r="47" spans="1:7" ht="15.75" customHeight="1">
      <c r="A47" s="102">
        <v>20</v>
      </c>
      <c r="B47" s="104">
        <v>3880</v>
      </c>
      <c r="C47" s="105">
        <v>5820</v>
      </c>
      <c r="D47" s="105">
        <v>7760</v>
      </c>
      <c r="E47" s="105">
        <v>11640</v>
      </c>
      <c r="F47" s="105">
        <v>15520</v>
      </c>
    </row>
    <row r="48" spans="1:7" ht="15.75" customHeight="1">
      <c r="A48" s="104">
        <v>50</v>
      </c>
      <c r="B48" s="104">
        <v>3800</v>
      </c>
      <c r="C48" s="105">
        <v>5700</v>
      </c>
      <c r="D48" s="105">
        <v>7600</v>
      </c>
      <c r="E48" s="105">
        <v>11400</v>
      </c>
      <c r="F48" s="105">
        <v>15200</v>
      </c>
    </row>
    <row r="49" spans="1:6" ht="15.75" customHeight="1">
      <c r="A49" s="104">
        <v>100</v>
      </c>
      <c r="B49" s="104">
        <v>3600</v>
      </c>
      <c r="C49" s="105">
        <v>5400</v>
      </c>
      <c r="D49" s="105">
        <v>7200</v>
      </c>
      <c r="E49" s="105">
        <v>10800</v>
      </c>
      <c r="F49" s="105">
        <v>14400</v>
      </c>
    </row>
    <row r="50" spans="1:6" ht="15.75" customHeight="1">
      <c r="A50" s="104">
        <v>200</v>
      </c>
      <c r="B50" s="104">
        <v>3400</v>
      </c>
      <c r="C50" s="105">
        <v>5100</v>
      </c>
      <c r="D50" s="105">
        <v>6800</v>
      </c>
      <c r="E50" s="105">
        <v>10200</v>
      </c>
      <c r="F50" s="105">
        <v>13600</v>
      </c>
    </row>
    <row r="51" spans="1:6" ht="15.75" customHeight="1">
      <c r="A51" s="104">
        <v>300</v>
      </c>
      <c r="B51" s="104">
        <v>3200</v>
      </c>
      <c r="C51" s="105">
        <v>4800</v>
      </c>
      <c r="D51" s="105">
        <v>6400</v>
      </c>
      <c r="E51" s="105">
        <v>9600</v>
      </c>
      <c r="F51" s="105">
        <v>12800</v>
      </c>
    </row>
    <row r="52" spans="1:6" ht="15.75" customHeight="1"/>
    <row r="53" spans="1:6" ht="15.75" customHeight="1">
      <c r="A53" s="13" t="s">
        <v>323</v>
      </c>
      <c r="B53" s="99" t="s">
        <v>318</v>
      </c>
      <c r="C53" s="100" t="s">
        <v>319</v>
      </c>
      <c r="D53" s="101" t="s">
        <v>8</v>
      </c>
      <c r="E53" s="101" t="s">
        <v>320</v>
      </c>
      <c r="F53" s="101" t="s">
        <v>321</v>
      </c>
    </row>
    <row r="54" spans="1:6" ht="15.75" customHeight="1">
      <c r="A54" s="8" t="s">
        <v>324</v>
      </c>
      <c r="B54" s="13"/>
    </row>
    <row r="55" spans="1:6" ht="15.75" customHeight="1">
      <c r="A55" s="21">
        <v>1</v>
      </c>
      <c r="B55" s="102">
        <v>7000</v>
      </c>
      <c r="C55" s="103">
        <v>10500</v>
      </c>
      <c r="D55" s="103">
        <v>14000</v>
      </c>
      <c r="E55" s="103">
        <v>21000</v>
      </c>
      <c r="F55" s="103">
        <v>28000</v>
      </c>
    </row>
    <row r="56" spans="1:6" ht="15.75" customHeight="1">
      <c r="A56" s="102">
        <v>20</v>
      </c>
      <c r="B56" s="105">
        <v>6790</v>
      </c>
      <c r="C56" s="105">
        <v>10185</v>
      </c>
      <c r="D56" s="105">
        <v>13580</v>
      </c>
      <c r="E56" s="105">
        <v>20370</v>
      </c>
      <c r="F56" s="105">
        <v>27160</v>
      </c>
    </row>
    <row r="57" spans="1:6" ht="15.75" customHeight="1">
      <c r="A57" s="104">
        <v>50</v>
      </c>
      <c r="B57" s="105">
        <v>6650</v>
      </c>
      <c r="C57" s="105">
        <v>9975</v>
      </c>
      <c r="D57" s="105">
        <v>13300</v>
      </c>
      <c r="E57" s="105">
        <v>19950</v>
      </c>
      <c r="F57" s="105">
        <v>26600</v>
      </c>
    </row>
    <row r="58" spans="1:6" ht="15.75" customHeight="1">
      <c r="A58" s="104">
        <v>100</v>
      </c>
      <c r="B58" s="105">
        <v>6300</v>
      </c>
      <c r="C58" s="105">
        <v>9450</v>
      </c>
      <c r="D58" s="105">
        <v>12600</v>
      </c>
      <c r="E58" s="105">
        <v>18900</v>
      </c>
      <c r="F58" s="105">
        <v>25200</v>
      </c>
    </row>
    <row r="59" spans="1:6" ht="15.75" customHeight="1">
      <c r="A59" s="104">
        <v>200</v>
      </c>
      <c r="B59" s="105">
        <v>5950</v>
      </c>
      <c r="C59" s="105">
        <v>8925</v>
      </c>
      <c r="D59" s="105">
        <v>11900</v>
      </c>
      <c r="E59" s="105">
        <v>17850</v>
      </c>
      <c r="F59" s="105">
        <v>23800</v>
      </c>
    </row>
    <row r="60" spans="1:6" ht="15.75" customHeight="1">
      <c r="A60" s="104">
        <v>300</v>
      </c>
      <c r="B60" s="105">
        <v>5600</v>
      </c>
      <c r="C60" s="105">
        <v>8400</v>
      </c>
      <c r="D60" s="105">
        <v>11200</v>
      </c>
      <c r="E60" s="105">
        <v>16800</v>
      </c>
      <c r="F60" s="105">
        <v>22400</v>
      </c>
    </row>
    <row r="61" spans="1:6" ht="15.75" customHeight="1"/>
    <row r="62" spans="1:6" ht="15.75" customHeight="1"/>
    <row r="63" spans="1:6" ht="15.75" customHeight="1">
      <c r="A63" s="13" t="s">
        <v>325</v>
      </c>
      <c r="B63" s="13" t="s">
        <v>326</v>
      </c>
    </row>
    <row r="64" spans="1:6" ht="15.75" customHeight="1">
      <c r="A64" s="8" t="s">
        <v>327</v>
      </c>
      <c r="B64" s="13"/>
    </row>
    <row r="65" spans="1:10" ht="15.75" customHeight="1">
      <c r="A65" s="21">
        <v>1</v>
      </c>
      <c r="B65" s="102">
        <v>16000</v>
      </c>
    </row>
    <row r="66" spans="1:10" ht="15.75" customHeight="1">
      <c r="A66" s="102">
        <v>20</v>
      </c>
      <c r="B66" s="105">
        <v>15520</v>
      </c>
    </row>
    <row r="67" spans="1:10" ht="15.75" customHeight="1">
      <c r="A67" s="104">
        <v>50</v>
      </c>
      <c r="B67" s="105">
        <v>15200</v>
      </c>
    </row>
    <row r="68" spans="1:10" ht="15.75" customHeight="1">
      <c r="A68" s="104">
        <v>100</v>
      </c>
      <c r="B68" s="105">
        <v>14400</v>
      </c>
    </row>
    <row r="69" spans="1:10" ht="15.75" customHeight="1">
      <c r="A69" s="104">
        <v>200</v>
      </c>
      <c r="B69" s="105">
        <v>13600</v>
      </c>
    </row>
    <row r="70" spans="1:10" ht="15.75" customHeight="1">
      <c r="A70" s="104">
        <v>300</v>
      </c>
      <c r="B70" s="105">
        <v>12800</v>
      </c>
    </row>
    <row r="71" spans="1:10" ht="15.75" customHeight="1"/>
    <row r="72" spans="1:10" ht="15.75" customHeight="1"/>
    <row r="73" spans="1:10" ht="15.75" customHeight="1">
      <c r="A73" s="13" t="s">
        <v>328</v>
      </c>
      <c r="B73" s="13" t="s">
        <v>329</v>
      </c>
      <c r="C73" s="13" t="s">
        <v>330</v>
      </c>
      <c r="D73" s="13" t="s">
        <v>331</v>
      </c>
      <c r="E73" s="13" t="s">
        <v>332</v>
      </c>
      <c r="F73" s="13" t="s">
        <v>333</v>
      </c>
      <c r="G73" s="13" t="s">
        <v>334</v>
      </c>
      <c r="H73" s="13" t="s">
        <v>335</v>
      </c>
      <c r="I73" s="13" t="s">
        <v>336</v>
      </c>
    </row>
    <row r="74" spans="1:10" ht="15.75" customHeight="1">
      <c r="A74" s="8" t="s">
        <v>337</v>
      </c>
      <c r="B74" s="13"/>
      <c r="C74" s="13"/>
      <c r="D74" s="13"/>
      <c r="E74" s="13"/>
      <c r="F74" s="13"/>
      <c r="G74" s="13"/>
      <c r="H74" s="13"/>
      <c r="I74" s="13"/>
    </row>
    <row r="75" spans="1:10" ht="15.75" customHeight="1">
      <c r="A75" s="24">
        <v>1</v>
      </c>
      <c r="B75" s="24">
        <v>7000</v>
      </c>
      <c r="C75" s="24">
        <v>7000</v>
      </c>
      <c r="D75" s="24">
        <v>7000</v>
      </c>
      <c r="E75" s="24">
        <v>7000</v>
      </c>
      <c r="F75" s="24">
        <v>7000</v>
      </c>
      <c r="G75" s="24">
        <v>7000</v>
      </c>
      <c r="H75" s="24">
        <v>7000</v>
      </c>
      <c r="I75" s="24">
        <v>7000</v>
      </c>
      <c r="J75" s="24"/>
    </row>
    <row r="76" spans="1:10" ht="15.75" customHeight="1">
      <c r="A76" s="24">
        <v>3</v>
      </c>
      <c r="B76" s="24">
        <v>6900</v>
      </c>
      <c r="C76" s="24">
        <v>6900</v>
      </c>
      <c r="D76" s="24">
        <v>6900</v>
      </c>
      <c r="E76" s="24">
        <v>6900</v>
      </c>
      <c r="F76" s="24">
        <v>6900</v>
      </c>
      <c r="G76" s="24">
        <v>6900</v>
      </c>
      <c r="H76" s="24">
        <v>6900</v>
      </c>
      <c r="I76" s="24">
        <v>6900</v>
      </c>
      <c r="J76" s="24"/>
    </row>
    <row r="77" spans="1:10" ht="15.75" customHeight="1">
      <c r="A77" s="24">
        <v>5</v>
      </c>
      <c r="B77" s="24">
        <v>6800</v>
      </c>
      <c r="C77" s="24">
        <v>6800</v>
      </c>
      <c r="D77" s="24">
        <v>6800</v>
      </c>
      <c r="E77" s="24">
        <v>6800</v>
      </c>
      <c r="F77" s="24">
        <v>6800</v>
      </c>
      <c r="G77" s="24">
        <v>6800</v>
      </c>
      <c r="H77" s="24">
        <v>6800</v>
      </c>
      <c r="I77" s="24">
        <v>6800</v>
      </c>
      <c r="J77" s="24"/>
    </row>
    <row r="78" spans="1:10" ht="15.75" customHeight="1">
      <c r="A78" s="24">
        <v>10</v>
      </c>
      <c r="B78" s="24">
        <v>6700</v>
      </c>
      <c r="C78" s="24">
        <v>6700</v>
      </c>
      <c r="D78" s="24">
        <v>6700</v>
      </c>
      <c r="E78" s="24">
        <v>6700</v>
      </c>
      <c r="F78" s="24">
        <v>6700</v>
      </c>
      <c r="G78" s="24">
        <v>6700</v>
      </c>
      <c r="H78" s="24">
        <v>6700</v>
      </c>
      <c r="I78" s="24">
        <v>6700</v>
      </c>
      <c r="J78" s="24"/>
    </row>
    <row r="79" spans="1:10" ht="15.75" customHeight="1">
      <c r="A79" s="24">
        <v>15</v>
      </c>
      <c r="B79" s="24">
        <v>6600</v>
      </c>
      <c r="C79" s="24">
        <v>6600</v>
      </c>
      <c r="D79" s="24">
        <v>6600</v>
      </c>
      <c r="E79" s="24">
        <v>6600</v>
      </c>
      <c r="F79" s="24">
        <v>6600</v>
      </c>
      <c r="G79" s="24">
        <v>6600</v>
      </c>
      <c r="H79" s="24">
        <v>6600</v>
      </c>
      <c r="I79" s="24">
        <v>6600</v>
      </c>
      <c r="J79" s="24"/>
    </row>
    <row r="80" spans="1:10" ht="15.75" customHeight="1">
      <c r="A80" s="24">
        <v>25</v>
      </c>
      <c r="B80" s="24">
        <v>6500</v>
      </c>
      <c r="C80" s="24">
        <v>6500</v>
      </c>
      <c r="D80" s="24">
        <v>6500</v>
      </c>
      <c r="E80" s="24">
        <v>6500</v>
      </c>
      <c r="F80" s="24">
        <v>6500</v>
      </c>
      <c r="G80" s="24">
        <v>6500</v>
      </c>
      <c r="H80" s="24">
        <v>6500</v>
      </c>
      <c r="I80" s="24">
        <v>6500</v>
      </c>
      <c r="J80" s="24"/>
    </row>
    <row r="81" spans="1:10" ht="15.75" customHeight="1">
      <c r="A81" s="24">
        <v>38</v>
      </c>
      <c r="B81" s="24">
        <v>6400</v>
      </c>
      <c r="C81" s="24">
        <v>6400</v>
      </c>
      <c r="D81" s="24">
        <v>6400</v>
      </c>
      <c r="E81" s="24">
        <v>6400</v>
      </c>
      <c r="F81" s="24">
        <v>6400</v>
      </c>
      <c r="G81" s="24">
        <v>6400</v>
      </c>
      <c r="H81" s="24">
        <v>6400</v>
      </c>
      <c r="I81" s="24">
        <v>6400</v>
      </c>
      <c r="J81" s="24"/>
    </row>
    <row r="82" spans="1:10" ht="15.75" customHeight="1">
      <c r="A82" s="24">
        <v>50</v>
      </c>
      <c r="B82" s="24">
        <v>6300</v>
      </c>
      <c r="C82" s="24">
        <v>6300</v>
      </c>
      <c r="D82" s="24">
        <v>6300</v>
      </c>
      <c r="E82" s="24">
        <v>6300</v>
      </c>
      <c r="F82" s="24">
        <v>6300</v>
      </c>
      <c r="G82" s="24">
        <v>6300</v>
      </c>
      <c r="H82" s="24">
        <v>6300</v>
      </c>
      <c r="I82" s="24">
        <v>6300</v>
      </c>
      <c r="J82" s="24"/>
    </row>
    <row r="83" spans="1:10" ht="15.75" customHeight="1">
      <c r="A83" s="24">
        <v>100</v>
      </c>
      <c r="B83" s="24">
        <v>6200</v>
      </c>
      <c r="C83" s="24">
        <v>6200</v>
      </c>
      <c r="D83" s="24">
        <v>6200</v>
      </c>
      <c r="E83" s="24">
        <v>6200</v>
      </c>
      <c r="F83" s="24">
        <v>6200</v>
      </c>
      <c r="G83" s="24">
        <v>6200</v>
      </c>
      <c r="H83" s="24">
        <v>6200</v>
      </c>
      <c r="I83" s="24">
        <v>6200</v>
      </c>
      <c r="J83" s="24"/>
    </row>
    <row r="84" spans="1:10" ht="15.75" customHeight="1">
      <c r="A84" s="24">
        <v>125</v>
      </c>
      <c r="B84" s="24">
        <v>6100</v>
      </c>
      <c r="C84" s="24">
        <v>6100</v>
      </c>
      <c r="D84" s="24">
        <v>6100</v>
      </c>
      <c r="E84" s="24">
        <v>6100</v>
      </c>
      <c r="F84" s="24">
        <v>6100</v>
      </c>
      <c r="G84" s="24">
        <v>6100</v>
      </c>
      <c r="H84" s="24">
        <v>6100</v>
      </c>
      <c r="I84" s="24">
        <v>6100</v>
      </c>
      <c r="J84" s="24"/>
    </row>
    <row r="85" spans="1:10" ht="15.75" customHeight="1">
      <c r="A85" s="24">
        <v>150</v>
      </c>
      <c r="B85" s="24">
        <v>6000</v>
      </c>
      <c r="C85" s="24">
        <v>6000</v>
      </c>
      <c r="D85" s="24">
        <v>6000</v>
      </c>
      <c r="E85" s="24">
        <v>6000</v>
      </c>
      <c r="F85" s="24">
        <v>6000</v>
      </c>
      <c r="G85" s="24">
        <v>6000</v>
      </c>
      <c r="H85" s="24">
        <v>6000</v>
      </c>
      <c r="I85" s="24">
        <v>6000</v>
      </c>
      <c r="J85" s="24"/>
    </row>
    <row r="86" spans="1:10" ht="15.75" customHeight="1">
      <c r="A86" s="24">
        <v>200</v>
      </c>
      <c r="B86" s="24">
        <v>5800</v>
      </c>
      <c r="C86" s="24">
        <v>5800</v>
      </c>
      <c r="D86" s="24">
        <v>5800</v>
      </c>
      <c r="E86" s="24">
        <v>5800</v>
      </c>
      <c r="F86" s="24">
        <v>5800</v>
      </c>
      <c r="G86" s="24">
        <v>5800</v>
      </c>
      <c r="H86" s="24">
        <v>5800</v>
      </c>
      <c r="I86" s="24">
        <v>5800</v>
      </c>
      <c r="J86" s="24"/>
    </row>
    <row r="87" spans="1:10" ht="15.75" customHeight="1">
      <c r="A87" s="24">
        <v>250</v>
      </c>
      <c r="B87" s="24">
        <v>5600</v>
      </c>
      <c r="C87" s="24">
        <v>5600</v>
      </c>
      <c r="D87" s="24">
        <v>5600</v>
      </c>
      <c r="E87" s="24">
        <v>5600</v>
      </c>
      <c r="F87" s="24">
        <v>5600</v>
      </c>
      <c r="G87" s="24">
        <v>5600</v>
      </c>
      <c r="H87" s="24">
        <v>5600</v>
      </c>
      <c r="I87" s="24">
        <v>5600</v>
      </c>
      <c r="J87" s="24"/>
    </row>
    <row r="88" spans="1:10" ht="15.75" customHeight="1">
      <c r="A88" s="24">
        <v>300</v>
      </c>
      <c r="B88" s="24">
        <v>5400</v>
      </c>
      <c r="C88" s="24">
        <v>5400</v>
      </c>
      <c r="D88" s="24">
        <v>5400</v>
      </c>
      <c r="E88" s="24">
        <v>5400</v>
      </c>
      <c r="F88" s="24">
        <v>5400</v>
      </c>
      <c r="G88" s="24">
        <v>5400</v>
      </c>
      <c r="H88" s="24">
        <v>5400</v>
      </c>
      <c r="I88" s="24">
        <v>5400</v>
      </c>
      <c r="J88" s="24"/>
    </row>
    <row r="89" spans="1:10" ht="15.75" customHeight="1">
      <c r="A89" s="24">
        <v>350</v>
      </c>
      <c r="B89" s="24">
        <v>5200</v>
      </c>
      <c r="C89" s="24">
        <v>5200</v>
      </c>
      <c r="D89" s="24">
        <v>5200</v>
      </c>
      <c r="E89" s="24">
        <v>5200</v>
      </c>
      <c r="F89" s="24">
        <v>5200</v>
      </c>
      <c r="G89" s="24">
        <v>5200</v>
      </c>
      <c r="H89" s="24">
        <v>5200</v>
      </c>
      <c r="I89" s="24">
        <v>5200</v>
      </c>
      <c r="J89" s="24"/>
    </row>
    <row r="90" spans="1:10" ht="15.75" customHeight="1">
      <c r="A90" s="106">
        <v>400</v>
      </c>
      <c r="B90" s="107">
        <v>5000</v>
      </c>
      <c r="C90" s="107">
        <v>5000</v>
      </c>
      <c r="D90" s="107">
        <v>5000</v>
      </c>
      <c r="E90" s="107">
        <v>5000</v>
      </c>
      <c r="F90" s="107">
        <v>5000</v>
      </c>
      <c r="G90" s="107">
        <v>5000</v>
      </c>
      <c r="H90" s="107">
        <v>5000</v>
      </c>
      <c r="I90" s="107">
        <v>5000</v>
      </c>
      <c r="J90" s="107"/>
    </row>
    <row r="91" spans="1:10" ht="15.75" customHeight="1">
      <c r="A91" s="21">
        <v>100000</v>
      </c>
      <c r="B91" s="108">
        <v>5000</v>
      </c>
      <c r="C91" s="108">
        <v>5000</v>
      </c>
      <c r="D91" s="108">
        <v>5000</v>
      </c>
      <c r="E91" s="108">
        <v>5000</v>
      </c>
      <c r="F91" s="108">
        <v>5000</v>
      </c>
      <c r="G91" s="108">
        <v>5000</v>
      </c>
      <c r="H91" s="108">
        <v>5000</v>
      </c>
      <c r="I91" s="108">
        <v>5000</v>
      </c>
      <c r="J91" s="108"/>
    </row>
    <row r="92" spans="1:10" ht="15.75" customHeight="1">
      <c r="A92" s="13"/>
      <c r="B92" s="13"/>
      <c r="C92" s="13"/>
    </row>
    <row r="93" spans="1:10" ht="15.75" customHeight="1">
      <c r="A93" s="13" t="s">
        <v>338</v>
      </c>
      <c r="B93" s="13" t="s">
        <v>339</v>
      </c>
      <c r="C93" s="13" t="s">
        <v>340</v>
      </c>
    </row>
    <row r="94" spans="1:10" ht="15.75" customHeight="1">
      <c r="A94" s="8" t="s">
        <v>341</v>
      </c>
      <c r="B94" s="13"/>
      <c r="C94" s="13"/>
    </row>
    <row r="95" spans="1:10" ht="15.75" customHeight="1">
      <c r="A95" s="106">
        <v>1</v>
      </c>
      <c r="B95" s="107">
        <v>6000</v>
      </c>
      <c r="C95" s="107">
        <v>6000</v>
      </c>
    </row>
    <row r="96" spans="1:10" ht="15.75" customHeight="1">
      <c r="A96" s="109">
        <v>15</v>
      </c>
      <c r="B96" s="110">
        <v>5800</v>
      </c>
      <c r="C96" s="110">
        <v>5800</v>
      </c>
    </row>
    <row r="97" spans="1:18" ht="15.75" customHeight="1">
      <c r="A97" s="109">
        <v>25</v>
      </c>
      <c r="B97" s="110">
        <v>5700</v>
      </c>
      <c r="C97" s="110">
        <v>5700</v>
      </c>
    </row>
    <row r="98" spans="1:18" ht="15.75" customHeight="1">
      <c r="A98" s="109">
        <v>100</v>
      </c>
      <c r="B98" s="110">
        <v>5600</v>
      </c>
      <c r="C98" s="110">
        <v>5600</v>
      </c>
    </row>
    <row r="99" spans="1:18" ht="15.75" customHeight="1">
      <c r="A99" s="109">
        <v>150</v>
      </c>
      <c r="B99" s="110">
        <v>5500</v>
      </c>
      <c r="C99" s="110">
        <v>5500</v>
      </c>
    </row>
    <row r="100" spans="1:18" ht="15.75" customHeight="1">
      <c r="A100" s="109">
        <v>200</v>
      </c>
      <c r="B100" s="110">
        <v>5400</v>
      </c>
      <c r="C100" s="110">
        <v>5400</v>
      </c>
    </row>
    <row r="101" spans="1:18" ht="15.75" customHeight="1">
      <c r="A101" s="109">
        <v>250</v>
      </c>
      <c r="B101" s="110">
        <v>5200</v>
      </c>
      <c r="C101" s="110">
        <v>5200</v>
      </c>
    </row>
    <row r="102" spans="1:18" ht="15.75" customHeight="1">
      <c r="A102" s="109">
        <v>300</v>
      </c>
      <c r="B102" s="110">
        <v>5000</v>
      </c>
      <c r="C102" s="110">
        <v>5000</v>
      </c>
    </row>
    <row r="103" spans="1:18" ht="15.75" customHeight="1">
      <c r="A103" s="109">
        <v>350</v>
      </c>
      <c r="B103" s="110">
        <v>4800</v>
      </c>
      <c r="C103" s="110">
        <v>4800</v>
      </c>
    </row>
    <row r="104" spans="1:18" ht="15.75" customHeight="1">
      <c r="A104" s="109">
        <v>400</v>
      </c>
      <c r="B104" s="110">
        <v>4700</v>
      </c>
      <c r="C104" s="110">
        <v>4700</v>
      </c>
    </row>
    <row r="105" spans="1:18" ht="15.75" customHeight="1">
      <c r="A105" s="109">
        <v>450</v>
      </c>
      <c r="B105" s="110">
        <v>4600</v>
      </c>
      <c r="C105" s="110">
        <v>4600</v>
      </c>
    </row>
    <row r="106" spans="1:18" ht="15.75" customHeight="1">
      <c r="A106" s="104">
        <v>100000</v>
      </c>
      <c r="B106" s="105">
        <v>4600</v>
      </c>
      <c r="C106" s="105">
        <v>4600</v>
      </c>
    </row>
    <row r="107" spans="1:18" ht="15.75" customHeight="1"/>
    <row r="108" spans="1:18" ht="15.75" customHeight="1"/>
    <row r="109" spans="1:18" ht="15.75" customHeight="1"/>
    <row r="110" spans="1:18" ht="15.75" customHeight="1">
      <c r="A110" s="13" t="s">
        <v>342</v>
      </c>
      <c r="B110" s="13" t="s">
        <v>343</v>
      </c>
      <c r="C110" s="13" t="s">
        <v>344</v>
      </c>
      <c r="D110" s="13" t="s">
        <v>345</v>
      </c>
      <c r="E110" s="13">
        <v>3040</v>
      </c>
      <c r="F110" s="13">
        <v>3050</v>
      </c>
      <c r="G110" s="13">
        <v>3060</v>
      </c>
      <c r="H110" s="13">
        <v>4020</v>
      </c>
      <c r="I110" s="13">
        <v>4030</v>
      </c>
      <c r="J110" s="13">
        <v>5020</v>
      </c>
      <c r="K110" s="13">
        <v>5030</v>
      </c>
      <c r="L110" s="13">
        <v>6020</v>
      </c>
      <c r="M110" s="13">
        <v>6030</v>
      </c>
      <c r="N110" s="13">
        <v>6040</v>
      </c>
      <c r="O110" s="13">
        <v>9040</v>
      </c>
      <c r="P110" s="13">
        <v>9060</v>
      </c>
      <c r="Q110" s="13">
        <v>12040</v>
      </c>
      <c r="R110" s="13">
        <v>12060</v>
      </c>
    </row>
    <row r="111" spans="1:18" ht="15.75" customHeight="1">
      <c r="A111" s="8" t="s">
        <v>346</v>
      </c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</row>
    <row r="112" spans="1:18" ht="15.75" customHeight="1">
      <c r="A112" s="24">
        <v>1</v>
      </c>
      <c r="B112" s="24">
        <v>7000</v>
      </c>
      <c r="C112" s="24">
        <v>7000</v>
      </c>
      <c r="D112" s="24">
        <v>7000</v>
      </c>
      <c r="E112" s="24">
        <v>7000</v>
      </c>
      <c r="F112" s="24">
        <v>7000</v>
      </c>
      <c r="G112" s="24">
        <v>7000</v>
      </c>
      <c r="H112" s="24">
        <v>7000</v>
      </c>
      <c r="I112" s="24">
        <v>7000</v>
      </c>
      <c r="J112" s="24">
        <v>7000</v>
      </c>
      <c r="K112" s="24">
        <v>7000</v>
      </c>
      <c r="L112" s="24">
        <v>7000</v>
      </c>
      <c r="M112" s="24">
        <v>7000</v>
      </c>
      <c r="N112" s="24">
        <v>7000</v>
      </c>
      <c r="O112" s="24">
        <v>7000</v>
      </c>
      <c r="P112" s="24">
        <v>7000</v>
      </c>
      <c r="Q112" s="24">
        <v>7000</v>
      </c>
      <c r="R112" s="24">
        <v>7000</v>
      </c>
    </row>
    <row r="113" spans="1:18" ht="15.75" customHeight="1">
      <c r="A113" s="24">
        <v>3</v>
      </c>
      <c r="B113" s="24">
        <v>6900</v>
      </c>
      <c r="C113" s="24">
        <v>6900</v>
      </c>
      <c r="D113" s="24">
        <v>6900</v>
      </c>
      <c r="E113" s="24">
        <v>6900</v>
      </c>
      <c r="F113" s="24">
        <v>6900</v>
      </c>
      <c r="G113" s="24">
        <v>6900</v>
      </c>
      <c r="H113" s="24">
        <v>6900</v>
      </c>
      <c r="I113" s="24">
        <v>6900</v>
      </c>
      <c r="J113" s="24">
        <v>6900</v>
      </c>
      <c r="K113" s="24">
        <v>6900</v>
      </c>
      <c r="L113" s="24">
        <v>6900</v>
      </c>
      <c r="M113" s="24">
        <v>6900</v>
      </c>
      <c r="N113" s="24">
        <v>6900</v>
      </c>
      <c r="O113" s="24">
        <v>6900</v>
      </c>
      <c r="P113" s="24">
        <v>6900</v>
      </c>
      <c r="Q113" s="24">
        <v>6900</v>
      </c>
      <c r="R113" s="24">
        <v>6900</v>
      </c>
    </row>
    <row r="114" spans="1:18" ht="15.75" customHeight="1">
      <c r="A114" s="24">
        <v>5</v>
      </c>
      <c r="B114" s="24">
        <v>6800</v>
      </c>
      <c r="C114" s="24">
        <v>6800</v>
      </c>
      <c r="D114" s="24">
        <v>6800</v>
      </c>
      <c r="E114" s="24">
        <v>6800</v>
      </c>
      <c r="F114" s="24">
        <v>6800</v>
      </c>
      <c r="G114" s="24">
        <v>6800</v>
      </c>
      <c r="H114" s="24">
        <v>6800</v>
      </c>
      <c r="I114" s="24">
        <v>6800</v>
      </c>
      <c r="J114" s="24">
        <v>6800</v>
      </c>
      <c r="K114" s="24">
        <v>6800</v>
      </c>
      <c r="L114" s="24">
        <v>6800</v>
      </c>
      <c r="M114" s="24">
        <v>6800</v>
      </c>
      <c r="N114" s="24">
        <v>6800</v>
      </c>
      <c r="O114" s="24">
        <v>6800</v>
      </c>
      <c r="P114" s="24">
        <v>6800</v>
      </c>
      <c r="Q114" s="24">
        <v>6800</v>
      </c>
      <c r="R114" s="24">
        <v>6800</v>
      </c>
    </row>
    <row r="115" spans="1:18" ht="15.75" customHeight="1">
      <c r="A115" s="24">
        <v>10</v>
      </c>
      <c r="B115" s="24">
        <v>6700</v>
      </c>
      <c r="C115" s="24">
        <v>6700</v>
      </c>
      <c r="D115" s="24">
        <v>6700</v>
      </c>
      <c r="E115" s="24">
        <v>6700</v>
      </c>
      <c r="F115" s="24">
        <v>6700</v>
      </c>
      <c r="G115" s="24">
        <v>6700</v>
      </c>
      <c r="H115" s="24">
        <v>6700</v>
      </c>
      <c r="I115" s="24">
        <v>6700</v>
      </c>
      <c r="J115" s="24">
        <v>6700</v>
      </c>
      <c r="K115" s="24">
        <v>6700</v>
      </c>
      <c r="L115" s="24">
        <v>6700</v>
      </c>
      <c r="M115" s="24">
        <v>6700</v>
      </c>
      <c r="N115" s="24">
        <v>6700</v>
      </c>
      <c r="O115" s="24">
        <v>6700</v>
      </c>
      <c r="P115" s="24">
        <v>6700</v>
      </c>
      <c r="Q115" s="24">
        <v>6700</v>
      </c>
      <c r="R115" s="24">
        <v>6700</v>
      </c>
    </row>
    <row r="116" spans="1:18" ht="15.75" customHeight="1">
      <c r="A116" s="24">
        <v>15</v>
      </c>
      <c r="B116" s="24">
        <v>6600</v>
      </c>
      <c r="C116" s="24">
        <v>6600</v>
      </c>
      <c r="D116" s="24">
        <v>6600</v>
      </c>
      <c r="E116" s="24">
        <v>6600</v>
      </c>
      <c r="F116" s="24">
        <v>6600</v>
      </c>
      <c r="G116" s="24">
        <v>6600</v>
      </c>
      <c r="H116" s="24">
        <v>6600</v>
      </c>
      <c r="I116" s="24">
        <v>6600</v>
      </c>
      <c r="J116" s="24">
        <v>6600</v>
      </c>
      <c r="K116" s="24">
        <v>6600</v>
      </c>
      <c r="L116" s="24">
        <v>6600</v>
      </c>
      <c r="M116" s="24">
        <v>6600</v>
      </c>
      <c r="N116" s="24">
        <v>6600</v>
      </c>
      <c r="O116" s="24">
        <v>6600</v>
      </c>
      <c r="P116" s="24">
        <v>6600</v>
      </c>
      <c r="Q116" s="24">
        <v>6600</v>
      </c>
      <c r="R116" s="24">
        <v>6600</v>
      </c>
    </row>
    <row r="117" spans="1:18" ht="15.75" customHeight="1">
      <c r="A117" s="24">
        <v>25</v>
      </c>
      <c r="B117" s="24">
        <v>6500</v>
      </c>
      <c r="C117" s="24">
        <v>6500</v>
      </c>
      <c r="D117" s="24">
        <v>6500</v>
      </c>
      <c r="E117" s="24">
        <v>6500</v>
      </c>
      <c r="F117" s="24">
        <v>6500</v>
      </c>
      <c r="G117" s="24">
        <v>6500</v>
      </c>
      <c r="H117" s="24">
        <v>6500</v>
      </c>
      <c r="I117" s="24">
        <v>6500</v>
      </c>
      <c r="J117" s="24">
        <v>6500</v>
      </c>
      <c r="K117" s="24">
        <v>6500</v>
      </c>
      <c r="L117" s="24">
        <v>6500</v>
      </c>
      <c r="M117" s="24">
        <v>6500</v>
      </c>
      <c r="N117" s="24">
        <v>6500</v>
      </c>
      <c r="O117" s="24">
        <v>6500</v>
      </c>
      <c r="P117" s="24">
        <v>6500</v>
      </c>
      <c r="Q117" s="24">
        <v>6500</v>
      </c>
      <c r="R117" s="24">
        <v>6500</v>
      </c>
    </row>
    <row r="118" spans="1:18" ht="15.75" customHeight="1">
      <c r="A118" s="24">
        <v>38</v>
      </c>
      <c r="B118" s="24">
        <v>6400</v>
      </c>
      <c r="C118" s="24">
        <v>6400</v>
      </c>
      <c r="D118" s="24">
        <v>6400</v>
      </c>
      <c r="E118" s="24">
        <v>6400</v>
      </c>
      <c r="F118" s="24">
        <v>6400</v>
      </c>
      <c r="G118" s="24">
        <v>6400</v>
      </c>
      <c r="H118" s="24">
        <v>6400</v>
      </c>
      <c r="I118" s="24">
        <v>6400</v>
      </c>
      <c r="J118" s="24">
        <v>6400</v>
      </c>
      <c r="K118" s="24">
        <v>6400</v>
      </c>
      <c r="L118" s="24">
        <v>6400</v>
      </c>
      <c r="M118" s="24">
        <v>6400</v>
      </c>
      <c r="N118" s="24">
        <v>6400</v>
      </c>
      <c r="O118" s="24">
        <v>6400</v>
      </c>
      <c r="P118" s="24">
        <v>6400</v>
      </c>
      <c r="Q118" s="24">
        <v>6400</v>
      </c>
      <c r="R118" s="24">
        <v>6400</v>
      </c>
    </row>
    <row r="119" spans="1:18" ht="15.75" customHeight="1">
      <c r="A119" s="24">
        <v>50</v>
      </c>
      <c r="B119" s="24">
        <v>6300</v>
      </c>
      <c r="C119" s="24">
        <v>6300</v>
      </c>
      <c r="D119" s="24">
        <v>6300</v>
      </c>
      <c r="E119" s="24">
        <v>6300</v>
      </c>
      <c r="F119" s="24">
        <v>6300</v>
      </c>
      <c r="G119" s="24">
        <v>6300</v>
      </c>
      <c r="H119" s="24">
        <v>6300</v>
      </c>
      <c r="I119" s="24">
        <v>6300</v>
      </c>
      <c r="J119" s="24">
        <v>6300</v>
      </c>
      <c r="K119" s="24">
        <v>6300</v>
      </c>
      <c r="L119" s="24">
        <v>6300</v>
      </c>
      <c r="M119" s="24">
        <v>6300</v>
      </c>
      <c r="N119" s="24">
        <v>6300</v>
      </c>
      <c r="O119" s="24">
        <v>6300</v>
      </c>
      <c r="P119" s="24">
        <v>6300</v>
      </c>
      <c r="Q119" s="24">
        <v>6300</v>
      </c>
      <c r="R119" s="24">
        <v>6300</v>
      </c>
    </row>
    <row r="120" spans="1:18" ht="15.75" customHeight="1">
      <c r="A120" s="24">
        <v>100</v>
      </c>
      <c r="B120" s="24">
        <v>6200</v>
      </c>
      <c r="C120" s="24">
        <v>6200</v>
      </c>
      <c r="D120" s="24">
        <v>6200</v>
      </c>
      <c r="E120" s="24">
        <v>6200</v>
      </c>
      <c r="F120" s="24">
        <v>6200</v>
      </c>
      <c r="G120" s="24">
        <v>6200</v>
      </c>
      <c r="H120" s="24">
        <v>6200</v>
      </c>
      <c r="I120" s="24">
        <v>6200</v>
      </c>
      <c r="J120" s="24">
        <v>6200</v>
      </c>
      <c r="K120" s="24">
        <v>6200</v>
      </c>
      <c r="L120" s="24">
        <v>6200</v>
      </c>
      <c r="M120" s="24">
        <v>6200</v>
      </c>
      <c r="N120" s="24">
        <v>6200</v>
      </c>
      <c r="O120" s="24">
        <v>6200</v>
      </c>
      <c r="P120" s="24">
        <v>6200</v>
      </c>
      <c r="Q120" s="24">
        <v>6200</v>
      </c>
      <c r="R120" s="24">
        <v>6200</v>
      </c>
    </row>
    <row r="121" spans="1:18" ht="15.75" customHeight="1">
      <c r="A121" s="24">
        <v>125</v>
      </c>
      <c r="B121" s="24">
        <v>6100</v>
      </c>
      <c r="C121" s="24">
        <v>6100</v>
      </c>
      <c r="D121" s="24">
        <v>6100</v>
      </c>
      <c r="E121" s="24">
        <v>6100</v>
      </c>
      <c r="F121" s="24">
        <v>6100</v>
      </c>
      <c r="G121" s="24">
        <v>6100</v>
      </c>
      <c r="H121" s="24">
        <v>6100</v>
      </c>
      <c r="I121" s="24">
        <v>6100</v>
      </c>
      <c r="J121" s="24">
        <v>6100</v>
      </c>
      <c r="K121" s="24">
        <v>6100</v>
      </c>
      <c r="L121" s="24">
        <v>6100</v>
      </c>
      <c r="M121" s="24">
        <v>6100</v>
      </c>
      <c r="N121" s="24">
        <v>6100</v>
      </c>
      <c r="O121" s="24">
        <v>6100</v>
      </c>
      <c r="P121" s="24">
        <v>6100</v>
      </c>
      <c r="Q121" s="24">
        <v>6100</v>
      </c>
      <c r="R121" s="24">
        <v>6100</v>
      </c>
    </row>
    <row r="122" spans="1:18" ht="15.75" customHeight="1">
      <c r="A122" s="24">
        <v>150</v>
      </c>
      <c r="B122" s="24">
        <v>6000</v>
      </c>
      <c r="C122" s="24">
        <v>6000</v>
      </c>
      <c r="D122" s="24">
        <v>6000</v>
      </c>
      <c r="E122" s="24">
        <v>6000</v>
      </c>
      <c r="F122" s="24">
        <v>6000</v>
      </c>
      <c r="G122" s="24">
        <v>6000</v>
      </c>
      <c r="H122" s="24">
        <v>6000</v>
      </c>
      <c r="I122" s="24">
        <v>6000</v>
      </c>
      <c r="J122" s="24">
        <v>6000</v>
      </c>
      <c r="K122" s="24">
        <v>6000</v>
      </c>
      <c r="L122" s="24">
        <v>6000</v>
      </c>
      <c r="M122" s="24">
        <v>6000</v>
      </c>
      <c r="N122" s="24">
        <v>6000</v>
      </c>
      <c r="O122" s="24">
        <v>6000</v>
      </c>
      <c r="P122" s="24">
        <v>6000</v>
      </c>
      <c r="Q122" s="24">
        <v>6000</v>
      </c>
      <c r="R122" s="24">
        <v>6000</v>
      </c>
    </row>
    <row r="123" spans="1:18" ht="15.75" customHeight="1">
      <c r="A123" s="24">
        <v>200</v>
      </c>
      <c r="B123" s="24">
        <v>5800</v>
      </c>
      <c r="C123" s="24">
        <v>5800</v>
      </c>
      <c r="D123" s="24">
        <v>5800</v>
      </c>
      <c r="E123" s="24">
        <v>5800</v>
      </c>
      <c r="F123" s="24">
        <v>5800</v>
      </c>
      <c r="G123" s="24">
        <v>5800</v>
      </c>
      <c r="H123" s="24">
        <v>5800</v>
      </c>
      <c r="I123" s="24">
        <v>5800</v>
      </c>
      <c r="J123" s="24">
        <v>5800</v>
      </c>
      <c r="K123" s="24">
        <v>5800</v>
      </c>
      <c r="L123" s="24">
        <v>5800</v>
      </c>
      <c r="M123" s="24">
        <v>5800</v>
      </c>
      <c r="N123" s="24">
        <v>5800</v>
      </c>
      <c r="O123" s="24">
        <v>5800</v>
      </c>
      <c r="P123" s="24">
        <v>5800</v>
      </c>
      <c r="Q123" s="24">
        <v>5800</v>
      </c>
      <c r="R123" s="24">
        <v>5800</v>
      </c>
    </row>
    <row r="124" spans="1:18" ht="15.75" customHeight="1">
      <c r="A124" s="24">
        <v>250</v>
      </c>
      <c r="B124" s="24">
        <v>5600</v>
      </c>
      <c r="C124" s="24">
        <v>5600</v>
      </c>
      <c r="D124" s="24">
        <v>5600</v>
      </c>
      <c r="E124" s="24">
        <v>5600</v>
      </c>
      <c r="F124" s="24">
        <v>5600</v>
      </c>
      <c r="G124" s="24">
        <v>5600</v>
      </c>
      <c r="H124" s="24">
        <v>5600</v>
      </c>
      <c r="I124" s="24">
        <v>5600</v>
      </c>
      <c r="J124" s="24">
        <v>5600</v>
      </c>
      <c r="K124" s="24">
        <v>5600</v>
      </c>
      <c r="L124" s="24">
        <v>5600</v>
      </c>
      <c r="M124" s="24">
        <v>5600</v>
      </c>
      <c r="N124" s="24">
        <v>5600</v>
      </c>
      <c r="O124" s="24">
        <v>5600</v>
      </c>
      <c r="P124" s="24">
        <v>5600</v>
      </c>
      <c r="Q124" s="24">
        <v>5600</v>
      </c>
      <c r="R124" s="24">
        <v>5600</v>
      </c>
    </row>
    <row r="125" spans="1:18" ht="15.75" customHeight="1">
      <c r="A125" s="24">
        <v>300</v>
      </c>
      <c r="B125" s="24">
        <v>5400</v>
      </c>
      <c r="C125" s="24">
        <v>5400</v>
      </c>
      <c r="D125" s="24">
        <v>5400</v>
      </c>
      <c r="E125" s="24">
        <v>5400</v>
      </c>
      <c r="F125" s="24">
        <v>5400</v>
      </c>
      <c r="G125" s="24">
        <v>5400</v>
      </c>
      <c r="H125" s="24">
        <v>5400</v>
      </c>
      <c r="I125" s="24">
        <v>5400</v>
      </c>
      <c r="J125" s="24">
        <v>5400</v>
      </c>
      <c r="K125" s="24">
        <v>5400</v>
      </c>
      <c r="L125" s="24">
        <v>5400</v>
      </c>
      <c r="M125" s="24">
        <v>5400</v>
      </c>
      <c r="N125" s="24">
        <v>5400</v>
      </c>
      <c r="O125" s="24">
        <v>5400</v>
      </c>
      <c r="P125" s="24">
        <v>5400</v>
      </c>
      <c r="Q125" s="24">
        <v>5400</v>
      </c>
      <c r="R125" s="24">
        <v>5400</v>
      </c>
    </row>
    <row r="126" spans="1:18" ht="15.75" customHeight="1">
      <c r="A126" s="24">
        <v>350</v>
      </c>
      <c r="B126" s="24">
        <v>5200</v>
      </c>
      <c r="C126" s="24">
        <v>5200</v>
      </c>
      <c r="D126" s="24">
        <v>5200</v>
      </c>
      <c r="E126" s="24">
        <v>5200</v>
      </c>
      <c r="F126" s="24">
        <v>5200</v>
      </c>
      <c r="G126" s="24">
        <v>5200</v>
      </c>
      <c r="H126" s="24">
        <v>5200</v>
      </c>
      <c r="I126" s="24">
        <v>5200</v>
      </c>
      <c r="J126" s="24">
        <v>5200</v>
      </c>
      <c r="K126" s="24">
        <v>5200</v>
      </c>
      <c r="L126" s="24">
        <v>5200</v>
      </c>
      <c r="M126" s="24">
        <v>5200</v>
      </c>
      <c r="N126" s="24">
        <v>5200</v>
      </c>
      <c r="O126" s="24">
        <v>5200</v>
      </c>
      <c r="P126" s="24">
        <v>5200</v>
      </c>
      <c r="Q126" s="24">
        <v>5200</v>
      </c>
      <c r="R126" s="24">
        <v>5200</v>
      </c>
    </row>
    <row r="127" spans="1:18" ht="15.75" customHeight="1">
      <c r="A127" s="106">
        <v>400</v>
      </c>
      <c r="B127" s="107">
        <v>5000</v>
      </c>
      <c r="C127" s="107">
        <v>5000</v>
      </c>
      <c r="D127" s="107">
        <v>5000</v>
      </c>
      <c r="E127" s="107">
        <v>5000</v>
      </c>
      <c r="F127" s="107">
        <v>5000</v>
      </c>
      <c r="G127" s="107">
        <v>5000</v>
      </c>
      <c r="H127" s="107">
        <v>5000</v>
      </c>
      <c r="I127" s="107">
        <v>5000</v>
      </c>
      <c r="J127" s="107">
        <v>5000</v>
      </c>
      <c r="K127" s="107">
        <v>5000</v>
      </c>
      <c r="L127" s="107">
        <v>5000</v>
      </c>
      <c r="M127" s="107">
        <v>5000</v>
      </c>
      <c r="N127" s="107">
        <v>5000</v>
      </c>
      <c r="O127" s="107">
        <v>5000</v>
      </c>
      <c r="P127" s="107">
        <v>5000</v>
      </c>
      <c r="Q127" s="107">
        <v>5000</v>
      </c>
      <c r="R127" s="107">
        <v>5000</v>
      </c>
    </row>
    <row r="128" spans="1:18" ht="15.75" customHeight="1">
      <c r="A128" s="21">
        <v>100000</v>
      </c>
      <c r="B128" s="108">
        <v>5000</v>
      </c>
      <c r="C128" s="108">
        <v>5000</v>
      </c>
      <c r="D128" s="108">
        <v>5000</v>
      </c>
      <c r="E128" s="108">
        <v>5000</v>
      </c>
      <c r="F128" s="108">
        <v>5000</v>
      </c>
      <c r="G128" s="108">
        <v>5000</v>
      </c>
      <c r="H128" s="108">
        <v>5000</v>
      </c>
      <c r="I128" s="108">
        <v>5000</v>
      </c>
      <c r="J128" s="108">
        <v>5000</v>
      </c>
      <c r="K128" s="108">
        <v>5000</v>
      </c>
      <c r="L128" s="108">
        <v>5000</v>
      </c>
      <c r="M128" s="108">
        <v>5000</v>
      </c>
      <c r="N128" s="108">
        <v>5000</v>
      </c>
      <c r="O128" s="108">
        <v>5000</v>
      </c>
      <c r="P128" s="108">
        <v>5000</v>
      </c>
      <c r="Q128" s="108">
        <v>5000</v>
      </c>
      <c r="R128" s="108">
        <v>5000</v>
      </c>
    </row>
    <row r="129" spans="1:7" ht="15.75" customHeight="1">
      <c r="A129" s="13"/>
      <c r="B129" s="13"/>
      <c r="C129" s="13"/>
      <c r="D129" s="13"/>
      <c r="E129" s="13"/>
      <c r="F129" s="13"/>
      <c r="G129" s="13"/>
    </row>
    <row r="130" spans="1:7" ht="15.75" customHeight="1">
      <c r="A130" s="13" t="s">
        <v>347</v>
      </c>
      <c r="B130" s="13" t="s">
        <v>348</v>
      </c>
      <c r="C130" s="13" t="s">
        <v>349</v>
      </c>
      <c r="D130" s="13">
        <v>8060</v>
      </c>
      <c r="E130" s="13">
        <v>9040</v>
      </c>
      <c r="F130" s="13">
        <v>9050</v>
      </c>
      <c r="G130" s="13">
        <v>9060</v>
      </c>
    </row>
    <row r="131" spans="1:7" ht="15.75" customHeight="1">
      <c r="A131" s="8" t="s">
        <v>350</v>
      </c>
      <c r="B131" s="13"/>
      <c r="C131" s="13"/>
      <c r="D131" s="13"/>
      <c r="E131" s="13"/>
      <c r="F131" s="13"/>
      <c r="G131" s="13"/>
    </row>
    <row r="132" spans="1:7" ht="15.75" customHeight="1">
      <c r="A132" s="106">
        <v>1</v>
      </c>
      <c r="B132" s="107">
        <v>6000</v>
      </c>
      <c r="C132" s="107">
        <v>6000</v>
      </c>
      <c r="D132" s="107">
        <v>6000</v>
      </c>
      <c r="E132" s="107">
        <v>6000</v>
      </c>
      <c r="F132" s="107">
        <v>6000</v>
      </c>
      <c r="G132" s="107">
        <v>6000</v>
      </c>
    </row>
    <row r="133" spans="1:7" ht="15.75" customHeight="1">
      <c r="A133" s="109">
        <v>15</v>
      </c>
      <c r="B133" s="110">
        <v>5800</v>
      </c>
      <c r="C133" s="110">
        <v>5800</v>
      </c>
      <c r="D133" s="110">
        <v>5800</v>
      </c>
      <c r="E133" s="110">
        <v>5800</v>
      </c>
      <c r="F133" s="110">
        <v>5800</v>
      </c>
      <c r="G133" s="110">
        <v>5800</v>
      </c>
    </row>
    <row r="134" spans="1:7" ht="15.75" customHeight="1">
      <c r="A134" s="109">
        <v>25</v>
      </c>
      <c r="B134" s="110">
        <v>5700</v>
      </c>
      <c r="C134" s="110">
        <v>5700</v>
      </c>
      <c r="D134" s="110">
        <v>5700</v>
      </c>
      <c r="E134" s="110">
        <v>5700</v>
      </c>
      <c r="F134" s="110">
        <v>5700</v>
      </c>
      <c r="G134" s="110">
        <v>5700</v>
      </c>
    </row>
    <row r="135" spans="1:7" ht="15.75" customHeight="1">
      <c r="A135" s="109">
        <v>100</v>
      </c>
      <c r="B135" s="110">
        <v>5600</v>
      </c>
      <c r="C135" s="110">
        <v>5600</v>
      </c>
      <c r="D135" s="110">
        <v>5600</v>
      </c>
      <c r="E135" s="110">
        <v>5600</v>
      </c>
      <c r="F135" s="110">
        <v>5600</v>
      </c>
      <c r="G135" s="110">
        <v>5600</v>
      </c>
    </row>
    <row r="136" spans="1:7" ht="15.75" customHeight="1">
      <c r="A136" s="109">
        <v>150</v>
      </c>
      <c r="B136" s="110">
        <v>5500</v>
      </c>
      <c r="C136" s="110">
        <v>5500</v>
      </c>
      <c r="D136" s="110">
        <v>5500</v>
      </c>
      <c r="E136" s="110">
        <v>5500</v>
      </c>
      <c r="F136" s="110">
        <v>5500</v>
      </c>
      <c r="G136" s="110">
        <v>5500</v>
      </c>
    </row>
    <row r="137" spans="1:7" ht="15.75" customHeight="1">
      <c r="A137" s="109">
        <v>200</v>
      </c>
      <c r="B137" s="110">
        <v>5400</v>
      </c>
      <c r="C137" s="110">
        <v>5400</v>
      </c>
      <c r="D137" s="110">
        <v>5400</v>
      </c>
      <c r="E137" s="110">
        <v>5400</v>
      </c>
      <c r="F137" s="110">
        <v>5400</v>
      </c>
      <c r="G137" s="110">
        <v>5400</v>
      </c>
    </row>
    <row r="138" spans="1:7" ht="15.75" customHeight="1">
      <c r="A138" s="109">
        <v>250</v>
      </c>
      <c r="B138" s="110">
        <v>5200</v>
      </c>
      <c r="C138" s="110">
        <v>5200</v>
      </c>
      <c r="D138" s="110">
        <v>5200</v>
      </c>
      <c r="E138" s="110">
        <v>5200</v>
      </c>
      <c r="F138" s="110">
        <v>5200</v>
      </c>
      <c r="G138" s="110">
        <v>5200</v>
      </c>
    </row>
    <row r="139" spans="1:7" ht="15.75" customHeight="1">
      <c r="A139" s="109">
        <v>300</v>
      </c>
      <c r="B139" s="110">
        <v>5000</v>
      </c>
      <c r="C139" s="110">
        <v>5000</v>
      </c>
      <c r="D139" s="110">
        <v>5000</v>
      </c>
      <c r="E139" s="110">
        <v>5000</v>
      </c>
      <c r="F139" s="110">
        <v>5000</v>
      </c>
      <c r="G139" s="110">
        <v>5000</v>
      </c>
    </row>
    <row r="140" spans="1:7" ht="15.75" customHeight="1">
      <c r="A140" s="109">
        <v>350</v>
      </c>
      <c r="B140" s="110">
        <v>4800</v>
      </c>
      <c r="C140" s="110">
        <v>4800</v>
      </c>
      <c r="D140" s="110">
        <v>4800</v>
      </c>
      <c r="E140" s="110">
        <v>4800</v>
      </c>
      <c r="F140" s="110">
        <v>4800</v>
      </c>
      <c r="G140" s="110">
        <v>4800</v>
      </c>
    </row>
    <row r="141" spans="1:7" ht="15.75" customHeight="1">
      <c r="A141" s="109">
        <v>400</v>
      </c>
      <c r="B141" s="110">
        <v>4700</v>
      </c>
      <c r="C141" s="110">
        <v>4700</v>
      </c>
      <c r="D141" s="110">
        <v>4700</v>
      </c>
      <c r="E141" s="110">
        <v>4700</v>
      </c>
      <c r="F141" s="110">
        <v>4700</v>
      </c>
      <c r="G141" s="110">
        <v>4700</v>
      </c>
    </row>
    <row r="142" spans="1:7" ht="15.75" customHeight="1">
      <c r="A142" s="109">
        <v>450</v>
      </c>
      <c r="B142" s="110">
        <v>4600</v>
      </c>
      <c r="C142" s="110">
        <v>4600</v>
      </c>
      <c r="D142" s="110">
        <v>4600</v>
      </c>
      <c r="E142" s="110">
        <v>4600</v>
      </c>
      <c r="F142" s="110">
        <v>4600</v>
      </c>
      <c r="G142" s="110">
        <v>4600</v>
      </c>
    </row>
    <row r="143" spans="1:7" ht="15.75" customHeight="1">
      <c r="A143" s="104">
        <v>100000</v>
      </c>
      <c r="B143" s="105">
        <v>4600</v>
      </c>
      <c r="C143" s="105">
        <v>4600</v>
      </c>
      <c r="D143" s="105">
        <v>4600</v>
      </c>
      <c r="E143" s="105">
        <v>4600</v>
      </c>
      <c r="F143" s="105">
        <v>4600</v>
      </c>
      <c r="G143" s="105">
        <v>4600</v>
      </c>
    </row>
    <row r="144" spans="1:7" ht="15.75" customHeight="1"/>
    <row r="145" spans="1:11" ht="15.75" customHeight="1"/>
    <row r="146" spans="1:11" ht="15.75" customHeight="1"/>
    <row r="147" spans="1:11" ht="15.75" customHeight="1">
      <c r="A147" s="13" t="s">
        <v>351</v>
      </c>
      <c r="B147" s="13" t="s">
        <v>352</v>
      </c>
      <c r="C147" s="13" t="s">
        <v>353</v>
      </c>
      <c r="D147" s="13" t="s">
        <v>354</v>
      </c>
      <c r="E147" s="13" t="s">
        <v>355</v>
      </c>
      <c r="F147" s="13" t="s">
        <v>356</v>
      </c>
      <c r="G147" s="13" t="s">
        <v>357</v>
      </c>
      <c r="H147" s="13" t="s">
        <v>358</v>
      </c>
      <c r="I147" s="13" t="s">
        <v>359</v>
      </c>
      <c r="J147" s="13" t="s">
        <v>360</v>
      </c>
      <c r="K147" s="13" t="s">
        <v>361</v>
      </c>
    </row>
    <row r="148" spans="1:11" ht="15.75" customHeight="1">
      <c r="A148" s="8" t="s">
        <v>362</v>
      </c>
    </row>
    <row r="149" spans="1:11" ht="15.75" customHeight="1">
      <c r="A149" s="24">
        <v>1</v>
      </c>
      <c r="B149" s="24">
        <v>7000</v>
      </c>
      <c r="C149" s="24">
        <v>7000</v>
      </c>
      <c r="D149" s="24">
        <v>7000</v>
      </c>
      <c r="E149" s="24">
        <v>7000</v>
      </c>
      <c r="F149" s="24">
        <v>7000</v>
      </c>
      <c r="G149" s="24">
        <v>7000</v>
      </c>
      <c r="H149" s="24">
        <v>7000</v>
      </c>
      <c r="I149" s="24">
        <v>7000</v>
      </c>
      <c r="J149" s="24">
        <v>7000</v>
      </c>
      <c r="K149" s="24">
        <v>7000</v>
      </c>
    </row>
    <row r="150" spans="1:11" ht="15.75" customHeight="1">
      <c r="A150" s="24">
        <v>3</v>
      </c>
      <c r="B150" s="24">
        <v>6900</v>
      </c>
      <c r="C150" s="24">
        <v>6900</v>
      </c>
      <c r="D150" s="24">
        <v>6900</v>
      </c>
      <c r="E150" s="24">
        <v>6900</v>
      </c>
      <c r="F150" s="24">
        <v>6900</v>
      </c>
      <c r="G150" s="24">
        <v>6900</v>
      </c>
      <c r="H150" s="24">
        <v>6900</v>
      </c>
      <c r="I150" s="24">
        <v>6900</v>
      </c>
      <c r="J150" s="24">
        <v>6900</v>
      </c>
      <c r="K150" s="24">
        <v>6900</v>
      </c>
    </row>
    <row r="151" spans="1:11" ht="15.75" customHeight="1">
      <c r="A151" s="24">
        <v>5</v>
      </c>
      <c r="B151" s="24">
        <v>6800</v>
      </c>
      <c r="C151" s="24">
        <v>6800</v>
      </c>
      <c r="D151" s="24">
        <v>6800</v>
      </c>
      <c r="E151" s="24">
        <v>6800</v>
      </c>
      <c r="F151" s="24">
        <v>6800</v>
      </c>
      <c r="G151" s="24">
        <v>6800</v>
      </c>
      <c r="H151" s="24">
        <v>6800</v>
      </c>
      <c r="I151" s="24">
        <v>6800</v>
      </c>
      <c r="J151" s="24">
        <v>6800</v>
      </c>
      <c r="K151" s="24">
        <v>6800</v>
      </c>
    </row>
    <row r="152" spans="1:11" ht="15.75" customHeight="1">
      <c r="A152" s="24">
        <v>10</v>
      </c>
      <c r="B152" s="24">
        <v>6700</v>
      </c>
      <c r="C152" s="24">
        <v>6700</v>
      </c>
      <c r="D152" s="24">
        <v>6700</v>
      </c>
      <c r="E152" s="24">
        <v>6700</v>
      </c>
      <c r="F152" s="24">
        <v>6700</v>
      </c>
      <c r="G152" s="24">
        <v>6700</v>
      </c>
      <c r="H152" s="24">
        <v>6700</v>
      </c>
      <c r="I152" s="24">
        <v>6700</v>
      </c>
      <c r="J152" s="24">
        <v>6700</v>
      </c>
      <c r="K152" s="24">
        <v>6700</v>
      </c>
    </row>
    <row r="153" spans="1:11" ht="15.75" customHeight="1">
      <c r="A153" s="24">
        <v>15</v>
      </c>
      <c r="B153" s="24">
        <v>6600</v>
      </c>
      <c r="C153" s="24">
        <v>6600</v>
      </c>
      <c r="D153" s="24">
        <v>6600</v>
      </c>
      <c r="E153" s="24">
        <v>6600</v>
      </c>
      <c r="F153" s="24">
        <v>6600</v>
      </c>
      <c r="G153" s="24">
        <v>6600</v>
      </c>
      <c r="H153" s="24">
        <v>6600</v>
      </c>
      <c r="I153" s="24">
        <v>6600</v>
      </c>
      <c r="J153" s="24">
        <v>6600</v>
      </c>
      <c r="K153" s="24">
        <v>6600</v>
      </c>
    </row>
    <row r="154" spans="1:11" ht="15.75" customHeight="1">
      <c r="A154" s="24">
        <v>25</v>
      </c>
      <c r="B154" s="24">
        <v>6500</v>
      </c>
      <c r="C154" s="24">
        <v>6500</v>
      </c>
      <c r="D154" s="24">
        <v>6500</v>
      </c>
      <c r="E154" s="24">
        <v>6500</v>
      </c>
      <c r="F154" s="24">
        <v>6500</v>
      </c>
      <c r="G154" s="24">
        <v>6500</v>
      </c>
      <c r="H154" s="24">
        <v>6500</v>
      </c>
      <c r="I154" s="24">
        <v>6500</v>
      </c>
      <c r="J154" s="24">
        <v>6500</v>
      </c>
      <c r="K154" s="24">
        <v>6500</v>
      </c>
    </row>
    <row r="155" spans="1:11" ht="15.75" customHeight="1">
      <c r="A155" s="24">
        <v>38</v>
      </c>
      <c r="B155" s="24">
        <v>6400</v>
      </c>
      <c r="C155" s="24">
        <v>6400</v>
      </c>
      <c r="D155" s="24">
        <v>6400</v>
      </c>
      <c r="E155" s="24">
        <v>6400</v>
      </c>
      <c r="F155" s="24">
        <v>6400</v>
      </c>
      <c r="G155" s="24">
        <v>6400</v>
      </c>
      <c r="H155" s="24">
        <v>6400</v>
      </c>
      <c r="I155" s="24">
        <v>6400</v>
      </c>
      <c r="J155" s="24">
        <v>6400</v>
      </c>
      <c r="K155" s="24">
        <v>6400</v>
      </c>
    </row>
    <row r="156" spans="1:11" ht="15.75" customHeight="1">
      <c r="A156" s="24">
        <v>50</v>
      </c>
      <c r="B156" s="24">
        <v>6300</v>
      </c>
      <c r="C156" s="24">
        <v>6300</v>
      </c>
      <c r="D156" s="24">
        <v>6300</v>
      </c>
      <c r="E156" s="24">
        <v>6300</v>
      </c>
      <c r="F156" s="24">
        <v>6300</v>
      </c>
      <c r="G156" s="24">
        <v>6300</v>
      </c>
      <c r="H156" s="24">
        <v>6300</v>
      </c>
      <c r="I156" s="24">
        <v>6300</v>
      </c>
      <c r="J156" s="24">
        <v>6300</v>
      </c>
      <c r="K156" s="24">
        <v>6300</v>
      </c>
    </row>
    <row r="157" spans="1:11" ht="15.75" customHeight="1">
      <c r="A157" s="24">
        <v>100</v>
      </c>
      <c r="B157" s="24">
        <v>6200</v>
      </c>
      <c r="C157" s="24">
        <v>6200</v>
      </c>
      <c r="D157" s="24">
        <v>6200</v>
      </c>
      <c r="E157" s="24">
        <v>6200</v>
      </c>
      <c r="F157" s="24">
        <v>6200</v>
      </c>
      <c r="G157" s="24">
        <v>6200</v>
      </c>
      <c r="H157" s="24">
        <v>6200</v>
      </c>
      <c r="I157" s="24">
        <v>6200</v>
      </c>
      <c r="J157" s="24">
        <v>6200</v>
      </c>
      <c r="K157" s="24">
        <v>6200</v>
      </c>
    </row>
    <row r="158" spans="1:11" ht="15.75" customHeight="1">
      <c r="A158" s="24">
        <v>125</v>
      </c>
      <c r="B158" s="24">
        <v>6100</v>
      </c>
      <c r="C158" s="24">
        <v>6100</v>
      </c>
      <c r="D158" s="24">
        <v>6100</v>
      </c>
      <c r="E158" s="24">
        <v>6100</v>
      </c>
      <c r="F158" s="24">
        <v>6100</v>
      </c>
      <c r="G158" s="24">
        <v>6100</v>
      </c>
      <c r="H158" s="24">
        <v>6100</v>
      </c>
      <c r="I158" s="24">
        <v>6100</v>
      </c>
      <c r="J158" s="24">
        <v>6100</v>
      </c>
      <c r="K158" s="24">
        <v>6100</v>
      </c>
    </row>
    <row r="159" spans="1:11" ht="15.75" customHeight="1">
      <c r="A159" s="24">
        <v>150</v>
      </c>
      <c r="B159" s="24">
        <v>6000</v>
      </c>
      <c r="C159" s="24">
        <v>6000</v>
      </c>
      <c r="D159" s="24">
        <v>6000</v>
      </c>
      <c r="E159" s="24">
        <v>6000</v>
      </c>
      <c r="F159" s="24">
        <v>6000</v>
      </c>
      <c r="G159" s="24">
        <v>6000</v>
      </c>
      <c r="H159" s="24">
        <v>6000</v>
      </c>
      <c r="I159" s="24">
        <v>6000</v>
      </c>
      <c r="J159" s="24">
        <v>6000</v>
      </c>
      <c r="K159" s="24">
        <v>6000</v>
      </c>
    </row>
    <row r="160" spans="1:11" ht="15.75" customHeight="1">
      <c r="A160" s="24">
        <v>200</v>
      </c>
      <c r="B160" s="24">
        <v>5800</v>
      </c>
      <c r="C160" s="24">
        <v>5800</v>
      </c>
      <c r="D160" s="24">
        <v>5800</v>
      </c>
      <c r="E160" s="24">
        <v>5800</v>
      </c>
      <c r="F160" s="24">
        <v>5800</v>
      </c>
      <c r="G160" s="24">
        <v>5800</v>
      </c>
      <c r="H160" s="24">
        <v>5800</v>
      </c>
      <c r="I160" s="24">
        <v>5800</v>
      </c>
      <c r="J160" s="24">
        <v>5800</v>
      </c>
      <c r="K160" s="24">
        <v>5800</v>
      </c>
    </row>
    <row r="161" spans="1:11" ht="15.75" customHeight="1">
      <c r="A161" s="24">
        <v>250</v>
      </c>
      <c r="B161" s="24">
        <v>5600</v>
      </c>
      <c r="C161" s="24">
        <v>5600</v>
      </c>
      <c r="D161" s="24">
        <v>5600</v>
      </c>
      <c r="E161" s="24">
        <v>5600</v>
      </c>
      <c r="F161" s="24">
        <v>5600</v>
      </c>
      <c r="G161" s="24">
        <v>5600</v>
      </c>
      <c r="H161" s="24">
        <v>5600</v>
      </c>
      <c r="I161" s="24">
        <v>5600</v>
      </c>
      <c r="J161" s="24">
        <v>5600</v>
      </c>
      <c r="K161" s="24">
        <v>5600</v>
      </c>
    </row>
    <row r="162" spans="1:11" ht="15.75" customHeight="1">
      <c r="A162" s="24">
        <v>300</v>
      </c>
      <c r="B162" s="24">
        <v>5400</v>
      </c>
      <c r="C162" s="24">
        <v>5400</v>
      </c>
      <c r="D162" s="24">
        <v>5400</v>
      </c>
      <c r="E162" s="24">
        <v>5400</v>
      </c>
      <c r="F162" s="24">
        <v>5400</v>
      </c>
      <c r="G162" s="24">
        <v>5400</v>
      </c>
      <c r="H162" s="24">
        <v>5400</v>
      </c>
      <c r="I162" s="24">
        <v>5400</v>
      </c>
      <c r="J162" s="24">
        <v>5400</v>
      </c>
      <c r="K162" s="24">
        <v>5400</v>
      </c>
    </row>
    <row r="163" spans="1:11" ht="15.75" customHeight="1">
      <c r="A163" s="24">
        <v>350</v>
      </c>
      <c r="B163" s="24">
        <v>5200</v>
      </c>
      <c r="C163" s="24">
        <v>5200</v>
      </c>
      <c r="D163" s="24">
        <v>5200</v>
      </c>
      <c r="E163" s="24">
        <v>5200</v>
      </c>
      <c r="F163" s="24">
        <v>5200</v>
      </c>
      <c r="G163" s="24">
        <v>5200</v>
      </c>
      <c r="H163" s="24">
        <v>5200</v>
      </c>
      <c r="I163" s="24">
        <v>5200</v>
      </c>
      <c r="J163" s="24">
        <v>5200</v>
      </c>
      <c r="K163" s="24">
        <v>5200</v>
      </c>
    </row>
    <row r="164" spans="1:11" ht="15.75" customHeight="1">
      <c r="A164" s="106">
        <v>400</v>
      </c>
      <c r="B164" s="107">
        <v>5000</v>
      </c>
      <c r="C164" s="107">
        <v>5000</v>
      </c>
      <c r="D164" s="107">
        <v>5000</v>
      </c>
      <c r="E164" s="107">
        <v>5000</v>
      </c>
      <c r="F164" s="107">
        <v>5000</v>
      </c>
      <c r="G164" s="107">
        <v>5000</v>
      </c>
      <c r="H164" s="107">
        <v>5000</v>
      </c>
      <c r="I164" s="107">
        <v>5000</v>
      </c>
      <c r="J164" s="107">
        <v>5000</v>
      </c>
      <c r="K164" s="107">
        <v>5000</v>
      </c>
    </row>
    <row r="165" spans="1:11" ht="15.75" customHeight="1">
      <c r="A165" s="21">
        <v>100000</v>
      </c>
      <c r="B165" s="108">
        <v>5000</v>
      </c>
      <c r="C165" s="108">
        <v>5000</v>
      </c>
      <c r="D165" s="108">
        <v>5000</v>
      </c>
      <c r="E165" s="108">
        <v>5000</v>
      </c>
      <c r="F165" s="108">
        <v>5000</v>
      </c>
      <c r="G165" s="108">
        <v>5000</v>
      </c>
      <c r="H165" s="108">
        <v>5000</v>
      </c>
      <c r="I165" s="108">
        <v>5000</v>
      </c>
      <c r="J165" s="108">
        <v>5000</v>
      </c>
      <c r="K165" s="108">
        <v>5000</v>
      </c>
    </row>
    <row r="166" spans="1:11" ht="15.75" customHeight="1">
      <c r="A166" s="13"/>
      <c r="B166" s="13"/>
      <c r="C166" s="13"/>
      <c r="D166" s="13"/>
      <c r="E166" s="13"/>
      <c r="F166" s="13"/>
    </row>
    <row r="167" spans="1:11" ht="15.75" customHeight="1">
      <c r="A167" s="13" t="s">
        <v>363</v>
      </c>
      <c r="B167" s="13" t="s">
        <v>364</v>
      </c>
      <c r="C167" s="13" t="s">
        <v>365</v>
      </c>
      <c r="D167" s="13" t="s">
        <v>366</v>
      </c>
      <c r="E167" s="13" t="s">
        <v>367</v>
      </c>
      <c r="F167" s="13" t="s">
        <v>368</v>
      </c>
    </row>
    <row r="168" spans="1:11" ht="15.75" customHeight="1">
      <c r="A168" s="8" t="s">
        <v>369</v>
      </c>
    </row>
    <row r="169" spans="1:11" ht="15.75" customHeight="1">
      <c r="A169" s="106">
        <v>1</v>
      </c>
      <c r="B169" s="107">
        <v>6000</v>
      </c>
      <c r="C169" s="107">
        <v>6000</v>
      </c>
      <c r="D169" s="107">
        <v>6000</v>
      </c>
      <c r="E169" s="107">
        <v>6000</v>
      </c>
      <c r="F169" s="107">
        <v>6000</v>
      </c>
    </row>
    <row r="170" spans="1:11" ht="15.75" customHeight="1">
      <c r="A170" s="109">
        <v>15</v>
      </c>
      <c r="B170" s="110">
        <v>5800</v>
      </c>
      <c r="C170" s="110">
        <v>5800</v>
      </c>
      <c r="D170" s="110">
        <v>5800</v>
      </c>
      <c r="E170" s="110">
        <v>5800</v>
      </c>
      <c r="F170" s="110">
        <v>5800</v>
      </c>
    </row>
    <row r="171" spans="1:11" ht="15.75" customHeight="1">
      <c r="A171" s="109">
        <v>25</v>
      </c>
      <c r="B171" s="110">
        <v>5700</v>
      </c>
      <c r="C171" s="110">
        <v>5700</v>
      </c>
      <c r="D171" s="110">
        <v>5700</v>
      </c>
      <c r="E171" s="110">
        <v>5700</v>
      </c>
      <c r="F171" s="110">
        <v>5700</v>
      </c>
    </row>
    <row r="172" spans="1:11" ht="15.75" customHeight="1">
      <c r="A172" s="109">
        <v>100</v>
      </c>
      <c r="B172" s="110">
        <v>5600</v>
      </c>
      <c r="C172" s="110">
        <v>5600</v>
      </c>
      <c r="D172" s="110">
        <v>5600</v>
      </c>
      <c r="E172" s="110">
        <v>5600</v>
      </c>
      <c r="F172" s="110">
        <v>5600</v>
      </c>
    </row>
    <row r="173" spans="1:11" ht="15.75" customHeight="1">
      <c r="A173" s="109">
        <v>150</v>
      </c>
      <c r="B173" s="110">
        <v>5500</v>
      </c>
      <c r="C173" s="110">
        <v>5500</v>
      </c>
      <c r="D173" s="110">
        <v>5500</v>
      </c>
      <c r="E173" s="110">
        <v>5500</v>
      </c>
      <c r="F173" s="110">
        <v>5500</v>
      </c>
    </row>
    <row r="174" spans="1:11" ht="15.75" customHeight="1">
      <c r="A174" s="109">
        <v>200</v>
      </c>
      <c r="B174" s="110">
        <v>5400</v>
      </c>
      <c r="C174" s="110">
        <v>5400</v>
      </c>
      <c r="D174" s="110">
        <v>5400</v>
      </c>
      <c r="E174" s="110">
        <v>5400</v>
      </c>
      <c r="F174" s="110">
        <v>5400</v>
      </c>
    </row>
    <row r="175" spans="1:11" ht="15.75" customHeight="1">
      <c r="A175" s="109">
        <v>250</v>
      </c>
      <c r="B175" s="110">
        <v>5200</v>
      </c>
      <c r="C175" s="110">
        <v>5200</v>
      </c>
      <c r="D175" s="110">
        <v>5200</v>
      </c>
      <c r="E175" s="110">
        <v>5200</v>
      </c>
      <c r="F175" s="110">
        <v>5200</v>
      </c>
    </row>
    <row r="176" spans="1:11" ht="15.75" customHeight="1">
      <c r="A176" s="109">
        <v>300</v>
      </c>
      <c r="B176" s="110">
        <v>5000</v>
      </c>
      <c r="C176" s="110">
        <v>5000</v>
      </c>
      <c r="D176" s="110">
        <v>5000</v>
      </c>
      <c r="E176" s="110">
        <v>5000</v>
      </c>
      <c r="F176" s="110">
        <v>5000</v>
      </c>
    </row>
    <row r="177" spans="1:6" ht="15.75" customHeight="1">
      <c r="A177" s="109">
        <v>350</v>
      </c>
      <c r="B177" s="110">
        <v>4800</v>
      </c>
      <c r="C177" s="110">
        <v>4800</v>
      </c>
      <c r="D177" s="110">
        <v>4800</v>
      </c>
      <c r="E177" s="110">
        <v>4800</v>
      </c>
      <c r="F177" s="110">
        <v>4800</v>
      </c>
    </row>
    <row r="178" spans="1:6" ht="15.75" customHeight="1">
      <c r="A178" s="109">
        <v>400</v>
      </c>
      <c r="B178" s="110">
        <v>4700</v>
      </c>
      <c r="C178" s="110">
        <v>4700</v>
      </c>
      <c r="D178" s="110">
        <v>4700</v>
      </c>
      <c r="E178" s="110">
        <v>4700</v>
      </c>
      <c r="F178" s="110">
        <v>4700</v>
      </c>
    </row>
    <row r="179" spans="1:6" ht="15.75" customHeight="1">
      <c r="A179" s="109">
        <v>450</v>
      </c>
      <c r="B179" s="110">
        <v>4600</v>
      </c>
      <c r="C179" s="110">
        <v>4600</v>
      </c>
      <c r="D179" s="110">
        <v>4600</v>
      </c>
      <c r="E179" s="110">
        <v>4600</v>
      </c>
      <c r="F179" s="110">
        <v>4600</v>
      </c>
    </row>
    <row r="180" spans="1:6" ht="15.75" customHeight="1">
      <c r="A180" s="104">
        <v>100000</v>
      </c>
      <c r="B180" s="105">
        <v>4600</v>
      </c>
      <c r="C180" s="105">
        <v>4600</v>
      </c>
      <c r="D180" s="105">
        <v>4600</v>
      </c>
      <c r="E180" s="105">
        <v>4600</v>
      </c>
      <c r="F180" s="105">
        <v>4600</v>
      </c>
    </row>
    <row r="181" spans="1:6" ht="15.75" customHeight="1"/>
    <row r="182" spans="1:6" ht="15.75" customHeight="1"/>
    <row r="183" spans="1:6" ht="15.75" customHeight="1"/>
    <row r="184" spans="1:6" ht="15.75" customHeight="1">
      <c r="A184" s="13" t="s">
        <v>370</v>
      </c>
      <c r="B184" s="13" t="s">
        <v>371</v>
      </c>
      <c r="C184" s="13" t="s">
        <v>372</v>
      </c>
      <c r="D184" s="13" t="s">
        <v>373</v>
      </c>
      <c r="E184" s="13" t="s">
        <v>374</v>
      </c>
      <c r="F184" s="13" t="s">
        <v>375</v>
      </c>
    </row>
    <row r="185" spans="1:6" ht="15.75" customHeight="1">
      <c r="A185" s="8" t="s">
        <v>376</v>
      </c>
      <c r="B185" s="13"/>
      <c r="C185" s="13"/>
      <c r="D185" s="13"/>
      <c r="E185" s="13"/>
      <c r="F185" s="13"/>
    </row>
    <row r="186" spans="1:6" ht="15.75" customHeight="1">
      <c r="A186" s="24">
        <v>1</v>
      </c>
      <c r="B186" s="24">
        <v>7000</v>
      </c>
      <c r="C186" s="24">
        <v>7000</v>
      </c>
      <c r="D186" s="24">
        <v>7000</v>
      </c>
      <c r="E186" s="24">
        <v>7000</v>
      </c>
      <c r="F186" s="24">
        <v>7000</v>
      </c>
    </row>
    <row r="187" spans="1:6" ht="15.75" customHeight="1">
      <c r="A187" s="24">
        <v>3</v>
      </c>
      <c r="B187" s="24">
        <v>6900</v>
      </c>
      <c r="C187" s="24">
        <v>6900</v>
      </c>
      <c r="D187" s="24">
        <v>6900</v>
      </c>
      <c r="E187" s="24">
        <v>6900</v>
      </c>
      <c r="F187" s="24">
        <v>6900</v>
      </c>
    </row>
    <row r="188" spans="1:6" ht="15.75" customHeight="1">
      <c r="A188" s="24">
        <v>5</v>
      </c>
      <c r="B188" s="24">
        <v>6800</v>
      </c>
      <c r="C188" s="24">
        <v>6800</v>
      </c>
      <c r="D188" s="24">
        <v>6800</v>
      </c>
      <c r="E188" s="24">
        <v>6800</v>
      </c>
      <c r="F188" s="24">
        <v>6800</v>
      </c>
    </row>
    <row r="189" spans="1:6" ht="15.75" customHeight="1">
      <c r="A189" s="24">
        <v>10</v>
      </c>
      <c r="B189" s="24">
        <v>6700</v>
      </c>
      <c r="C189" s="24">
        <v>6700</v>
      </c>
      <c r="D189" s="24">
        <v>6700</v>
      </c>
      <c r="E189" s="24">
        <v>6700</v>
      </c>
      <c r="F189" s="24">
        <v>6700</v>
      </c>
    </row>
    <row r="190" spans="1:6" ht="15.75" customHeight="1">
      <c r="A190" s="24">
        <v>15</v>
      </c>
      <c r="B190" s="24">
        <v>6600</v>
      </c>
      <c r="C190" s="24">
        <v>6600</v>
      </c>
      <c r="D190" s="24">
        <v>6600</v>
      </c>
      <c r="E190" s="24">
        <v>6600</v>
      </c>
      <c r="F190" s="24">
        <v>6600</v>
      </c>
    </row>
    <row r="191" spans="1:6" ht="15.75" customHeight="1">
      <c r="A191" s="24">
        <v>25</v>
      </c>
      <c r="B191" s="24">
        <v>6500</v>
      </c>
      <c r="C191" s="24">
        <v>6500</v>
      </c>
      <c r="D191" s="24">
        <v>6500</v>
      </c>
      <c r="E191" s="24">
        <v>6500</v>
      </c>
      <c r="F191" s="24">
        <v>6500</v>
      </c>
    </row>
    <row r="192" spans="1:6" ht="15.75" customHeight="1">
      <c r="A192" s="24">
        <v>38</v>
      </c>
      <c r="B192" s="24">
        <v>6400</v>
      </c>
      <c r="C192" s="24">
        <v>6400</v>
      </c>
      <c r="D192" s="24">
        <v>6400</v>
      </c>
      <c r="E192" s="24">
        <v>6400</v>
      </c>
      <c r="F192" s="24">
        <v>6400</v>
      </c>
    </row>
    <row r="193" spans="1:11" ht="15.75" customHeight="1">
      <c r="A193" s="24">
        <v>50</v>
      </c>
      <c r="B193" s="24">
        <v>6300</v>
      </c>
      <c r="C193" s="24">
        <v>6300</v>
      </c>
      <c r="D193" s="24">
        <v>6300</v>
      </c>
      <c r="E193" s="24">
        <v>6300</v>
      </c>
      <c r="F193" s="24">
        <v>6300</v>
      </c>
    </row>
    <row r="194" spans="1:11" ht="15.75" customHeight="1">
      <c r="A194" s="24">
        <v>100</v>
      </c>
      <c r="B194" s="24">
        <v>6200</v>
      </c>
      <c r="C194" s="24">
        <v>6200</v>
      </c>
      <c r="D194" s="24">
        <v>6200</v>
      </c>
      <c r="E194" s="24">
        <v>6200</v>
      </c>
      <c r="F194" s="24">
        <v>6200</v>
      </c>
    </row>
    <row r="195" spans="1:11" ht="15.75" customHeight="1">
      <c r="A195" s="24">
        <v>125</v>
      </c>
      <c r="B195" s="24">
        <v>6100</v>
      </c>
      <c r="C195" s="24">
        <v>6100</v>
      </c>
      <c r="D195" s="24">
        <v>6100</v>
      </c>
      <c r="E195" s="24">
        <v>6100</v>
      </c>
      <c r="F195" s="24">
        <v>6100</v>
      </c>
    </row>
    <row r="196" spans="1:11" ht="15.75" customHeight="1">
      <c r="A196" s="24">
        <v>150</v>
      </c>
      <c r="B196" s="24">
        <v>6000</v>
      </c>
      <c r="C196" s="24">
        <v>6000</v>
      </c>
      <c r="D196" s="24">
        <v>6000</v>
      </c>
      <c r="E196" s="24">
        <v>6000</v>
      </c>
      <c r="F196" s="24">
        <v>6000</v>
      </c>
    </row>
    <row r="197" spans="1:11" ht="15.75" customHeight="1">
      <c r="A197" s="24">
        <v>200</v>
      </c>
      <c r="B197" s="24">
        <v>5800</v>
      </c>
      <c r="C197" s="24">
        <v>5800</v>
      </c>
      <c r="D197" s="24">
        <v>5800</v>
      </c>
      <c r="E197" s="24">
        <v>5800</v>
      </c>
      <c r="F197" s="24">
        <v>5800</v>
      </c>
    </row>
    <row r="198" spans="1:11" ht="15.75" customHeight="1">
      <c r="A198" s="24">
        <v>250</v>
      </c>
      <c r="B198" s="24">
        <v>5600</v>
      </c>
      <c r="C198" s="24">
        <v>5600</v>
      </c>
      <c r="D198" s="24">
        <v>5600</v>
      </c>
      <c r="E198" s="24">
        <v>5600</v>
      </c>
      <c r="F198" s="24">
        <v>5600</v>
      </c>
    </row>
    <row r="199" spans="1:11" ht="15.75" customHeight="1">
      <c r="A199" s="24">
        <v>300</v>
      </c>
      <c r="B199" s="24">
        <v>5400</v>
      </c>
      <c r="C199" s="24">
        <v>5400</v>
      </c>
      <c r="D199" s="24">
        <v>5400</v>
      </c>
      <c r="E199" s="24">
        <v>5400</v>
      </c>
      <c r="F199" s="24">
        <v>5400</v>
      </c>
    </row>
    <row r="200" spans="1:11" ht="15.75" customHeight="1">
      <c r="A200" s="24">
        <v>350</v>
      </c>
      <c r="B200" s="24">
        <v>5200</v>
      </c>
      <c r="C200" s="24">
        <v>5200</v>
      </c>
      <c r="D200" s="24">
        <v>5200</v>
      </c>
      <c r="E200" s="24">
        <v>5200</v>
      </c>
      <c r="F200" s="24">
        <v>5200</v>
      </c>
    </row>
    <row r="201" spans="1:11" ht="15.75" customHeight="1">
      <c r="A201" s="106">
        <v>400</v>
      </c>
      <c r="B201" s="107">
        <v>5000</v>
      </c>
      <c r="C201" s="107">
        <v>5000</v>
      </c>
      <c r="D201" s="107">
        <v>5000</v>
      </c>
      <c r="E201" s="107">
        <v>5000</v>
      </c>
      <c r="F201" s="107">
        <v>5000</v>
      </c>
    </row>
    <row r="202" spans="1:11" ht="15.75" customHeight="1">
      <c r="A202" s="21">
        <v>100000</v>
      </c>
      <c r="B202" s="108">
        <v>5000</v>
      </c>
      <c r="C202" s="108">
        <v>5000</v>
      </c>
      <c r="D202" s="108">
        <v>5000</v>
      </c>
      <c r="E202" s="108">
        <v>5000</v>
      </c>
      <c r="F202" s="108">
        <v>5000</v>
      </c>
    </row>
    <row r="203" spans="1:11" ht="15.75" customHeight="1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</row>
    <row r="204" spans="1:11" ht="15.75" customHeight="1">
      <c r="A204" s="13" t="s">
        <v>377</v>
      </c>
      <c r="B204" s="13">
        <v>10</v>
      </c>
      <c r="C204" s="13">
        <v>15</v>
      </c>
      <c r="D204" s="13">
        <v>20</v>
      </c>
      <c r="E204" s="13">
        <v>25</v>
      </c>
      <c r="F204" s="13">
        <v>30</v>
      </c>
      <c r="G204" s="13">
        <v>35</v>
      </c>
      <c r="H204" s="13">
        <v>40</v>
      </c>
      <c r="I204" s="13">
        <v>50</v>
      </c>
      <c r="J204" s="13">
        <v>55</v>
      </c>
      <c r="K204" s="13">
        <v>60</v>
      </c>
    </row>
    <row r="205" spans="1:11" ht="15.75" customHeight="1">
      <c r="A205" s="8" t="s">
        <v>378</v>
      </c>
    </row>
    <row r="206" spans="1:11" ht="15.75" customHeight="1">
      <c r="A206" s="13">
        <v>1000</v>
      </c>
      <c r="B206" s="102">
        <v>20000</v>
      </c>
      <c r="C206" s="101">
        <v>20600</v>
      </c>
      <c r="D206" s="101">
        <v>21500</v>
      </c>
      <c r="E206" s="103">
        <v>20000</v>
      </c>
      <c r="F206" s="103">
        <v>20000</v>
      </c>
      <c r="G206" s="103">
        <v>20600</v>
      </c>
      <c r="H206" s="103">
        <v>24000</v>
      </c>
      <c r="I206" s="103">
        <v>20300</v>
      </c>
      <c r="J206" s="103">
        <v>22000</v>
      </c>
      <c r="K206" s="103">
        <v>24000</v>
      </c>
    </row>
    <row r="207" spans="1:11" ht="15.75" customHeight="1">
      <c r="A207" s="13">
        <v>2000</v>
      </c>
      <c r="B207" s="111">
        <v>30000</v>
      </c>
      <c r="C207" s="112">
        <v>30900</v>
      </c>
      <c r="D207" s="105">
        <v>32500</v>
      </c>
      <c r="E207" s="105">
        <v>30000</v>
      </c>
      <c r="F207" s="105">
        <v>30000</v>
      </c>
      <c r="G207" s="105">
        <v>30900</v>
      </c>
      <c r="H207" s="105">
        <v>36000</v>
      </c>
      <c r="I207" s="105">
        <v>30500</v>
      </c>
      <c r="J207" s="105">
        <v>33000</v>
      </c>
      <c r="K207" s="105">
        <v>36000</v>
      </c>
    </row>
    <row r="208" spans="1:11" ht="15.75" customHeight="1">
      <c r="A208" s="13">
        <v>3000</v>
      </c>
      <c r="B208" s="111">
        <v>40000</v>
      </c>
      <c r="C208" s="112">
        <v>41500</v>
      </c>
      <c r="D208" s="105">
        <v>46500</v>
      </c>
      <c r="E208" s="105">
        <v>40000</v>
      </c>
      <c r="F208" s="105">
        <v>40000</v>
      </c>
      <c r="G208" s="105">
        <v>41500</v>
      </c>
      <c r="H208" s="105">
        <v>50000</v>
      </c>
      <c r="I208" s="105">
        <v>40600</v>
      </c>
      <c r="J208" s="105">
        <v>44000</v>
      </c>
      <c r="K208" s="105">
        <v>50000</v>
      </c>
    </row>
    <row r="209" spans="1:11" ht="15.75" customHeight="1">
      <c r="A209" s="13">
        <v>4000</v>
      </c>
      <c r="B209" s="111">
        <v>50000</v>
      </c>
      <c r="C209" s="112">
        <v>51500</v>
      </c>
      <c r="D209" s="105">
        <v>60000</v>
      </c>
      <c r="E209" s="105">
        <v>50000</v>
      </c>
      <c r="F209" s="105">
        <v>50000</v>
      </c>
      <c r="G209" s="105">
        <v>51500</v>
      </c>
      <c r="H209" s="105">
        <v>64000</v>
      </c>
      <c r="I209" s="105">
        <v>51500</v>
      </c>
      <c r="J209" s="105">
        <v>55000</v>
      </c>
      <c r="K209" s="105">
        <v>64000</v>
      </c>
    </row>
    <row r="210" spans="1:11" ht="15.75" customHeight="1">
      <c r="A210" s="13">
        <v>5000</v>
      </c>
      <c r="B210" s="111">
        <v>60000</v>
      </c>
      <c r="C210" s="112">
        <v>62000</v>
      </c>
      <c r="D210" s="105">
        <v>74000</v>
      </c>
      <c r="E210" s="105">
        <v>60000</v>
      </c>
      <c r="F210" s="105">
        <v>60000</v>
      </c>
      <c r="G210" s="105">
        <v>62000</v>
      </c>
      <c r="H210" s="105">
        <v>77000</v>
      </c>
      <c r="I210" s="105">
        <v>61000</v>
      </c>
      <c r="J210" s="105">
        <v>66000</v>
      </c>
      <c r="K210" s="105">
        <v>77000</v>
      </c>
    </row>
    <row r="211" spans="1:11" ht="15.75" customHeight="1">
      <c r="A211" s="13"/>
      <c r="B211" s="25"/>
      <c r="C211" s="25"/>
      <c r="D211" s="21"/>
      <c r="E211" s="21"/>
      <c r="F211" s="21"/>
      <c r="G211" s="21"/>
      <c r="H211" s="21"/>
      <c r="I211" s="21"/>
      <c r="J211" s="21"/>
      <c r="K211" s="21"/>
    </row>
    <row r="212" spans="1:11" ht="15.75" customHeight="1">
      <c r="A212" s="13" t="s">
        <v>379</v>
      </c>
      <c r="B212" s="13">
        <v>10</v>
      </c>
      <c r="C212" s="13">
        <v>15</v>
      </c>
      <c r="D212" s="13">
        <v>20</v>
      </c>
      <c r="E212" s="13">
        <v>25</v>
      </c>
      <c r="F212" s="13">
        <v>30</v>
      </c>
      <c r="G212" s="13">
        <v>35</v>
      </c>
      <c r="H212" s="13">
        <v>40</v>
      </c>
      <c r="I212" s="13">
        <v>50</v>
      </c>
      <c r="J212" s="13">
        <v>55</v>
      </c>
      <c r="K212" s="13">
        <v>60</v>
      </c>
    </row>
    <row r="213" spans="1:11" ht="15.75" customHeight="1">
      <c r="A213" s="8" t="s">
        <v>380</v>
      </c>
    </row>
    <row r="214" spans="1:11" ht="15.75" customHeight="1">
      <c r="A214" s="13">
        <v>1000</v>
      </c>
      <c r="B214" s="102">
        <v>20000</v>
      </c>
      <c r="C214" s="101">
        <v>20600</v>
      </c>
      <c r="D214" s="101">
        <v>21500</v>
      </c>
      <c r="E214" s="103">
        <v>20000</v>
      </c>
      <c r="F214" s="103">
        <v>20000</v>
      </c>
      <c r="G214" s="103">
        <v>20600</v>
      </c>
      <c r="H214" s="103">
        <v>24000</v>
      </c>
      <c r="I214" s="103">
        <v>20300</v>
      </c>
      <c r="J214" s="103">
        <v>22000</v>
      </c>
      <c r="K214" s="103">
        <v>24000</v>
      </c>
    </row>
    <row r="215" spans="1:11" ht="15.75" customHeight="1">
      <c r="A215" s="13">
        <v>2000</v>
      </c>
      <c r="B215" s="111">
        <v>30000</v>
      </c>
      <c r="C215" s="112">
        <v>30900</v>
      </c>
      <c r="D215" s="105">
        <v>32500</v>
      </c>
      <c r="E215" s="105">
        <v>30000</v>
      </c>
      <c r="F215" s="105">
        <v>30000</v>
      </c>
      <c r="G215" s="105">
        <v>30900</v>
      </c>
      <c r="H215" s="105">
        <v>36000</v>
      </c>
      <c r="I215" s="105">
        <v>30500</v>
      </c>
      <c r="J215" s="105">
        <v>33000</v>
      </c>
      <c r="K215" s="105">
        <v>36000</v>
      </c>
    </row>
    <row r="216" spans="1:11" ht="15.75" customHeight="1">
      <c r="A216" s="13">
        <v>3000</v>
      </c>
      <c r="B216" s="111">
        <v>40000</v>
      </c>
      <c r="C216" s="112">
        <v>41500</v>
      </c>
      <c r="D216" s="105">
        <v>46500</v>
      </c>
      <c r="E216" s="105">
        <v>40000</v>
      </c>
      <c r="F216" s="105">
        <v>40000</v>
      </c>
      <c r="G216" s="105">
        <v>41500</v>
      </c>
      <c r="H216" s="105">
        <v>50000</v>
      </c>
      <c r="I216" s="105">
        <v>40600</v>
      </c>
      <c r="J216" s="105">
        <v>44000</v>
      </c>
      <c r="K216" s="105">
        <v>50000</v>
      </c>
    </row>
    <row r="217" spans="1:11" ht="15.75" customHeight="1">
      <c r="A217" s="13">
        <v>4000</v>
      </c>
      <c r="B217" s="111">
        <v>50000</v>
      </c>
      <c r="C217" s="112">
        <v>51500</v>
      </c>
      <c r="D217" s="105">
        <v>60000</v>
      </c>
      <c r="E217" s="105">
        <v>50000</v>
      </c>
      <c r="F217" s="105">
        <v>50000</v>
      </c>
      <c r="G217" s="105">
        <v>51500</v>
      </c>
      <c r="H217" s="105">
        <v>64000</v>
      </c>
      <c r="I217" s="105">
        <v>51500</v>
      </c>
      <c r="J217" s="105">
        <v>55000</v>
      </c>
      <c r="K217" s="105">
        <v>64000</v>
      </c>
    </row>
    <row r="218" spans="1:11" ht="15.75" customHeight="1">
      <c r="A218" s="13">
        <v>5000</v>
      </c>
      <c r="B218" s="111">
        <v>60000</v>
      </c>
      <c r="C218" s="112">
        <v>62000</v>
      </c>
      <c r="D218" s="105">
        <v>74000</v>
      </c>
      <c r="E218" s="105">
        <v>60000</v>
      </c>
      <c r="F218" s="105">
        <v>60000</v>
      </c>
      <c r="G218" s="105">
        <v>62000</v>
      </c>
      <c r="H218" s="105">
        <v>77000</v>
      </c>
      <c r="I218" s="105">
        <v>61000</v>
      </c>
      <c r="J218" s="105">
        <v>66000</v>
      </c>
      <c r="K218" s="105">
        <v>77000</v>
      </c>
    </row>
    <row r="219" spans="1:11" ht="15.75" customHeight="1">
      <c r="A219" s="13"/>
      <c r="B219" s="25"/>
      <c r="C219" s="25"/>
      <c r="D219" s="21"/>
      <c r="E219" s="21"/>
      <c r="F219" s="21"/>
      <c r="G219" s="21"/>
      <c r="H219" s="21"/>
      <c r="I219" s="21"/>
      <c r="J219" s="21"/>
      <c r="K219" s="21"/>
    </row>
    <row r="220" spans="1:11" ht="15.75" customHeight="1">
      <c r="A220" s="13" t="s">
        <v>381</v>
      </c>
      <c r="B220" s="13">
        <v>10</v>
      </c>
      <c r="C220" s="13">
        <v>15</v>
      </c>
      <c r="D220" s="13">
        <v>20</v>
      </c>
      <c r="E220" s="13">
        <v>25</v>
      </c>
      <c r="F220" s="13">
        <v>30</v>
      </c>
      <c r="G220" s="13">
        <v>35</v>
      </c>
      <c r="H220" s="13">
        <v>40</v>
      </c>
      <c r="I220" s="13">
        <v>50</v>
      </c>
      <c r="J220" s="13">
        <v>55</v>
      </c>
      <c r="K220" s="13">
        <v>60</v>
      </c>
    </row>
    <row r="221" spans="1:11" ht="15.75" customHeight="1">
      <c r="A221" s="8" t="s">
        <v>382</v>
      </c>
    </row>
    <row r="222" spans="1:11" ht="15.75" customHeight="1">
      <c r="A222" s="13">
        <v>1000</v>
      </c>
      <c r="B222" s="102">
        <v>26100</v>
      </c>
      <c r="C222" s="101">
        <v>27200</v>
      </c>
      <c r="D222" s="101">
        <v>28500</v>
      </c>
      <c r="E222" s="103">
        <v>26100</v>
      </c>
      <c r="F222" s="103">
        <v>26100</v>
      </c>
      <c r="G222" s="101">
        <v>27200</v>
      </c>
      <c r="H222" s="103">
        <v>33300</v>
      </c>
      <c r="I222" s="103">
        <v>26700</v>
      </c>
      <c r="J222" s="103">
        <v>29500</v>
      </c>
      <c r="K222" s="103">
        <v>33300</v>
      </c>
    </row>
    <row r="223" spans="1:11" ht="15.75" customHeight="1">
      <c r="A223" s="13">
        <v>2000</v>
      </c>
      <c r="B223" s="111">
        <v>39200</v>
      </c>
      <c r="C223" s="112">
        <v>41500</v>
      </c>
      <c r="D223" s="105">
        <v>49600</v>
      </c>
      <c r="E223" s="105">
        <v>39200</v>
      </c>
      <c r="F223" s="105">
        <v>39200</v>
      </c>
      <c r="G223" s="112">
        <v>41500</v>
      </c>
      <c r="H223" s="105">
        <v>54600</v>
      </c>
      <c r="I223" s="105">
        <v>39800</v>
      </c>
      <c r="J223" s="105">
        <v>46300</v>
      </c>
      <c r="K223" s="105">
        <v>54600</v>
      </c>
    </row>
    <row r="224" spans="1:11" ht="15.75" customHeight="1">
      <c r="A224" s="13">
        <v>3000</v>
      </c>
      <c r="B224" s="111">
        <v>52200</v>
      </c>
      <c r="C224" s="112">
        <v>55600</v>
      </c>
      <c r="D224" s="105">
        <v>71100</v>
      </c>
      <c r="E224" s="105">
        <v>52200</v>
      </c>
      <c r="F224" s="105">
        <v>52200</v>
      </c>
      <c r="G224" s="112">
        <v>55600</v>
      </c>
      <c r="H224" s="105">
        <v>75700</v>
      </c>
      <c r="I224" s="105">
        <v>52800</v>
      </c>
      <c r="J224" s="105">
        <v>62700</v>
      </c>
      <c r="K224" s="105">
        <v>75700</v>
      </c>
    </row>
    <row r="225" spans="1:11" ht="15.75" customHeight="1">
      <c r="A225" s="13">
        <v>4000</v>
      </c>
      <c r="B225" s="111">
        <v>65300</v>
      </c>
      <c r="C225" s="112">
        <v>69900</v>
      </c>
      <c r="D225" s="105">
        <v>92400</v>
      </c>
      <c r="E225" s="105">
        <v>65300</v>
      </c>
      <c r="F225" s="105">
        <v>65300</v>
      </c>
      <c r="G225" s="112">
        <v>69900</v>
      </c>
      <c r="H225" s="105">
        <v>97200</v>
      </c>
      <c r="I225" s="105">
        <v>62900</v>
      </c>
      <c r="J225" s="105">
        <v>79400</v>
      </c>
      <c r="K225" s="105">
        <v>97200</v>
      </c>
    </row>
    <row r="226" spans="1:11" ht="15.75" customHeight="1">
      <c r="A226" s="13">
        <v>5000</v>
      </c>
      <c r="B226" s="111">
        <v>78300</v>
      </c>
      <c r="C226" s="112">
        <v>84100</v>
      </c>
      <c r="D226" s="105">
        <v>113900</v>
      </c>
      <c r="E226" s="105">
        <v>78300</v>
      </c>
      <c r="F226" s="105">
        <v>78300</v>
      </c>
      <c r="G226" s="112">
        <v>84100</v>
      </c>
      <c r="H226" s="105">
        <v>118500</v>
      </c>
      <c r="I226" s="105">
        <v>78900</v>
      </c>
      <c r="J226" s="105">
        <v>96000</v>
      </c>
      <c r="K226" s="105">
        <v>118500</v>
      </c>
    </row>
    <row r="227" spans="1:11" ht="15.75" customHeight="1">
      <c r="A227" s="13"/>
      <c r="B227" s="25"/>
      <c r="C227" s="25"/>
      <c r="D227" s="21"/>
      <c r="E227" s="21"/>
      <c r="F227" s="21"/>
      <c r="G227" s="25"/>
      <c r="H227" s="21"/>
      <c r="I227" s="21"/>
      <c r="J227" s="21"/>
      <c r="K227" s="21"/>
    </row>
    <row r="228" spans="1:11" ht="15.75" customHeight="1">
      <c r="A228" s="13" t="s">
        <v>383</v>
      </c>
      <c r="B228" s="13">
        <v>10</v>
      </c>
      <c r="C228" s="13">
        <v>15</v>
      </c>
      <c r="D228" s="13">
        <v>20</v>
      </c>
      <c r="E228" s="13">
        <v>25</v>
      </c>
      <c r="F228" s="13">
        <v>30</v>
      </c>
      <c r="G228" s="13">
        <v>35</v>
      </c>
      <c r="H228" s="13">
        <v>40</v>
      </c>
      <c r="I228" s="13">
        <v>50</v>
      </c>
      <c r="J228" s="13">
        <v>55</v>
      </c>
      <c r="K228" s="13">
        <v>60</v>
      </c>
    </row>
    <row r="229" spans="1:11" ht="15.75" customHeight="1">
      <c r="A229" s="8" t="s">
        <v>384</v>
      </c>
    </row>
    <row r="230" spans="1:11" ht="15.75" customHeight="1">
      <c r="A230" s="13">
        <v>1000</v>
      </c>
      <c r="B230" s="102">
        <v>26100</v>
      </c>
      <c r="C230" s="101">
        <v>27200</v>
      </c>
      <c r="D230" s="101">
        <v>28500</v>
      </c>
      <c r="E230" s="103">
        <v>26100</v>
      </c>
      <c r="F230" s="103">
        <v>26100</v>
      </c>
      <c r="G230" s="101">
        <v>27200</v>
      </c>
      <c r="H230" s="103">
        <v>33300</v>
      </c>
      <c r="I230" s="103">
        <v>26700</v>
      </c>
      <c r="J230" s="103">
        <v>29500</v>
      </c>
      <c r="K230" s="103">
        <v>33300</v>
      </c>
    </row>
    <row r="231" spans="1:11" ht="15.75" customHeight="1">
      <c r="A231" s="13">
        <v>2000</v>
      </c>
      <c r="B231" s="111">
        <v>39200</v>
      </c>
      <c r="C231" s="112">
        <v>41500</v>
      </c>
      <c r="D231" s="105">
        <v>49600</v>
      </c>
      <c r="E231" s="105">
        <v>39200</v>
      </c>
      <c r="F231" s="105">
        <v>39200</v>
      </c>
      <c r="G231" s="112">
        <v>41500</v>
      </c>
      <c r="H231" s="105">
        <v>54600</v>
      </c>
      <c r="I231" s="105">
        <v>39800</v>
      </c>
      <c r="J231" s="105">
        <v>46300</v>
      </c>
      <c r="K231" s="105">
        <v>54600</v>
      </c>
    </row>
    <row r="232" spans="1:11" ht="15.75" customHeight="1">
      <c r="A232" s="13">
        <v>3000</v>
      </c>
      <c r="B232" s="111">
        <v>52200</v>
      </c>
      <c r="C232" s="112">
        <v>55600</v>
      </c>
      <c r="D232" s="105">
        <v>71100</v>
      </c>
      <c r="E232" s="105">
        <v>52200</v>
      </c>
      <c r="F232" s="105">
        <v>52200</v>
      </c>
      <c r="G232" s="112">
        <v>55600</v>
      </c>
      <c r="H232" s="105">
        <v>75700</v>
      </c>
      <c r="I232" s="105">
        <v>52800</v>
      </c>
      <c r="J232" s="105">
        <v>62700</v>
      </c>
      <c r="K232" s="105">
        <v>75700</v>
      </c>
    </row>
    <row r="233" spans="1:11" ht="15.75" customHeight="1">
      <c r="A233" s="13">
        <v>4000</v>
      </c>
      <c r="B233" s="111">
        <v>65300</v>
      </c>
      <c r="C233" s="112">
        <v>69900</v>
      </c>
      <c r="D233" s="105">
        <v>92400</v>
      </c>
      <c r="E233" s="105">
        <v>65300</v>
      </c>
      <c r="F233" s="105">
        <v>65300</v>
      </c>
      <c r="G233" s="112">
        <v>69900</v>
      </c>
      <c r="H233" s="105">
        <v>97200</v>
      </c>
      <c r="I233" s="105">
        <v>62900</v>
      </c>
      <c r="J233" s="105">
        <v>79400</v>
      </c>
      <c r="K233" s="105">
        <v>97200</v>
      </c>
    </row>
    <row r="234" spans="1:11" ht="15.75" customHeight="1">
      <c r="A234" s="13">
        <v>5000</v>
      </c>
      <c r="B234" s="111">
        <v>78300</v>
      </c>
      <c r="C234" s="112">
        <v>84100</v>
      </c>
      <c r="D234" s="105">
        <v>113900</v>
      </c>
      <c r="E234" s="105">
        <v>78300</v>
      </c>
      <c r="F234" s="105">
        <v>78300</v>
      </c>
      <c r="G234" s="112">
        <v>84100</v>
      </c>
      <c r="H234" s="105">
        <v>118500</v>
      </c>
      <c r="I234" s="105">
        <v>78900</v>
      </c>
      <c r="J234" s="105">
        <v>96000</v>
      </c>
      <c r="K234" s="105">
        <v>118500</v>
      </c>
    </row>
    <row r="235" spans="1:11" ht="15.75" customHeight="1">
      <c r="A235" s="13"/>
      <c r="B235" s="25"/>
      <c r="C235" s="25"/>
      <c r="D235" s="21"/>
      <c r="E235" s="21"/>
      <c r="F235" s="21"/>
      <c r="G235" s="25"/>
      <c r="H235" s="21"/>
      <c r="I235" s="21"/>
      <c r="J235" s="21"/>
      <c r="K235" s="21"/>
    </row>
    <row r="236" spans="1:11" ht="15.75" customHeight="1">
      <c r="A236" s="13" t="s">
        <v>385</v>
      </c>
      <c r="B236" s="13">
        <v>10</v>
      </c>
      <c r="C236" s="13">
        <v>15</v>
      </c>
      <c r="D236" s="13">
        <v>20</v>
      </c>
      <c r="E236" s="13">
        <v>25</v>
      </c>
      <c r="F236" s="13">
        <v>30</v>
      </c>
      <c r="G236" s="13">
        <v>35</v>
      </c>
      <c r="H236" s="13">
        <v>40</v>
      </c>
      <c r="I236" s="13">
        <v>50</v>
      </c>
      <c r="J236" s="13">
        <v>55</v>
      </c>
      <c r="K236" s="13">
        <v>60</v>
      </c>
    </row>
    <row r="237" spans="1:11" ht="15.75" customHeight="1">
      <c r="A237" s="8" t="s">
        <v>386</v>
      </c>
    </row>
    <row r="238" spans="1:11" ht="15.75" customHeight="1">
      <c r="A238" s="13">
        <v>1000</v>
      </c>
      <c r="B238" s="102">
        <v>26100</v>
      </c>
      <c r="C238" s="101">
        <v>27200</v>
      </c>
      <c r="D238" s="101">
        <v>28500</v>
      </c>
      <c r="E238" s="103">
        <v>26100</v>
      </c>
      <c r="F238" s="103">
        <v>26100</v>
      </c>
      <c r="G238" s="101">
        <v>27200</v>
      </c>
      <c r="H238" s="103">
        <v>33300</v>
      </c>
      <c r="I238" s="103">
        <v>26700</v>
      </c>
      <c r="J238" s="103">
        <v>29500</v>
      </c>
      <c r="K238" s="103">
        <v>33300</v>
      </c>
    </row>
    <row r="239" spans="1:11" ht="15.75" customHeight="1">
      <c r="A239" s="13">
        <v>2000</v>
      </c>
      <c r="B239" s="111">
        <v>39200</v>
      </c>
      <c r="C239" s="112">
        <v>41500</v>
      </c>
      <c r="D239" s="105">
        <v>49600</v>
      </c>
      <c r="E239" s="105">
        <v>39200</v>
      </c>
      <c r="F239" s="105">
        <v>39200</v>
      </c>
      <c r="G239" s="112">
        <v>41500</v>
      </c>
      <c r="H239" s="105">
        <v>54600</v>
      </c>
      <c r="I239" s="105">
        <v>39800</v>
      </c>
      <c r="J239" s="105">
        <v>46300</v>
      </c>
      <c r="K239" s="105">
        <v>54600</v>
      </c>
    </row>
    <row r="240" spans="1:11" ht="15.75" customHeight="1">
      <c r="A240" s="13">
        <v>3000</v>
      </c>
      <c r="B240" s="111">
        <v>52200</v>
      </c>
      <c r="C240" s="112">
        <v>55600</v>
      </c>
      <c r="D240" s="105">
        <v>71100</v>
      </c>
      <c r="E240" s="105">
        <v>52200</v>
      </c>
      <c r="F240" s="105">
        <v>52200</v>
      </c>
      <c r="G240" s="112">
        <v>55600</v>
      </c>
      <c r="H240" s="105">
        <v>75700</v>
      </c>
      <c r="I240" s="105">
        <v>52800</v>
      </c>
      <c r="J240" s="105">
        <v>62700</v>
      </c>
      <c r="K240" s="105">
        <v>75700</v>
      </c>
    </row>
    <row r="241" spans="1:38" ht="15.75" customHeight="1">
      <c r="A241" s="13">
        <v>4000</v>
      </c>
      <c r="B241" s="111">
        <v>65300</v>
      </c>
      <c r="C241" s="112">
        <v>69900</v>
      </c>
      <c r="D241" s="105">
        <v>92400</v>
      </c>
      <c r="E241" s="105">
        <v>65300</v>
      </c>
      <c r="F241" s="105">
        <v>65300</v>
      </c>
      <c r="G241" s="112">
        <v>69900</v>
      </c>
      <c r="H241" s="105">
        <v>97200</v>
      </c>
      <c r="I241" s="105">
        <v>62900</v>
      </c>
      <c r="J241" s="105">
        <v>79400</v>
      </c>
      <c r="K241" s="105">
        <v>97200</v>
      </c>
    </row>
    <row r="242" spans="1:38" ht="15.75" customHeight="1">
      <c r="A242" s="13">
        <v>5000</v>
      </c>
      <c r="B242" s="111">
        <v>78300</v>
      </c>
      <c r="C242" s="112">
        <v>84100</v>
      </c>
      <c r="D242" s="105">
        <v>113900</v>
      </c>
      <c r="E242" s="105">
        <v>78300</v>
      </c>
      <c r="F242" s="105">
        <v>78300</v>
      </c>
      <c r="G242" s="112">
        <v>84100</v>
      </c>
      <c r="H242" s="105">
        <v>118500</v>
      </c>
      <c r="I242" s="105">
        <v>78900</v>
      </c>
      <c r="J242" s="105">
        <v>96000</v>
      </c>
      <c r="K242" s="105">
        <v>118500</v>
      </c>
    </row>
    <row r="243" spans="1:38" ht="15.75" customHeight="1"/>
    <row r="244" spans="1:38" ht="15.75" customHeight="1"/>
    <row r="245" spans="1:38" ht="15.75" customHeight="1">
      <c r="A245" s="113" t="s">
        <v>387</v>
      </c>
      <c r="B245" s="21">
        <v>10</v>
      </c>
      <c r="C245" s="21">
        <v>15</v>
      </c>
      <c r="D245" s="21">
        <v>20</v>
      </c>
      <c r="E245" s="21">
        <v>25</v>
      </c>
      <c r="F245" s="21">
        <v>30</v>
      </c>
      <c r="G245" s="21">
        <v>35</v>
      </c>
      <c r="H245" s="21">
        <v>40</v>
      </c>
      <c r="I245" s="21">
        <v>45</v>
      </c>
      <c r="J245" s="21">
        <v>50</v>
      </c>
      <c r="K245" s="21">
        <v>55</v>
      </c>
      <c r="L245" s="21">
        <v>60</v>
      </c>
      <c r="M245" s="21">
        <v>90</v>
      </c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  <c r="AA245" s="25"/>
      <c r="AB245" s="25"/>
      <c r="AC245" s="25"/>
      <c r="AD245" s="25"/>
      <c r="AE245" s="25"/>
      <c r="AF245" s="25"/>
      <c r="AG245" s="25"/>
      <c r="AH245" s="25"/>
      <c r="AI245" s="25"/>
      <c r="AJ245" s="25"/>
      <c r="AK245" s="25"/>
      <c r="AL245" s="25"/>
    </row>
    <row r="246" spans="1:38" ht="15.75" customHeight="1">
      <c r="A246" s="198" t="s">
        <v>388</v>
      </c>
      <c r="B246" s="182"/>
      <c r="C246" s="182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  <c r="AA246" s="25"/>
      <c r="AB246" s="25"/>
      <c r="AC246" s="25"/>
      <c r="AD246" s="25"/>
      <c r="AE246" s="25"/>
      <c r="AF246" s="25"/>
      <c r="AG246" s="25"/>
      <c r="AH246" s="25"/>
      <c r="AI246" s="25"/>
      <c r="AJ246" s="25"/>
      <c r="AK246" s="25"/>
      <c r="AL246" s="25"/>
    </row>
    <row r="247" spans="1:38" ht="15.75" customHeight="1">
      <c r="A247" s="114">
        <v>1000</v>
      </c>
      <c r="B247" s="21">
        <v>20000</v>
      </c>
      <c r="C247" s="21">
        <v>20600</v>
      </c>
      <c r="D247" s="21">
        <v>21500</v>
      </c>
      <c r="E247" s="21">
        <v>20000</v>
      </c>
      <c r="F247" s="21">
        <v>20000</v>
      </c>
      <c r="G247" s="21">
        <v>20600</v>
      </c>
      <c r="H247" s="21">
        <v>24000</v>
      </c>
      <c r="I247" s="21">
        <v>18500</v>
      </c>
      <c r="J247" s="21">
        <v>20300</v>
      </c>
      <c r="K247" s="21">
        <v>22000</v>
      </c>
      <c r="L247" s="21">
        <v>24000</v>
      </c>
      <c r="M247" s="21">
        <v>35000</v>
      </c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  <c r="AA247" s="25"/>
      <c r="AB247" s="25"/>
      <c r="AC247" s="25"/>
      <c r="AD247" s="25"/>
      <c r="AE247" s="25"/>
      <c r="AF247" s="25"/>
      <c r="AG247" s="25"/>
      <c r="AH247" s="25"/>
      <c r="AI247" s="25"/>
      <c r="AJ247" s="25"/>
      <c r="AK247" s="25"/>
      <c r="AL247" s="25"/>
    </row>
    <row r="248" spans="1:38" ht="15.75" customHeight="1">
      <c r="A248" s="115">
        <v>2000</v>
      </c>
      <c r="B248" s="21">
        <v>30000</v>
      </c>
      <c r="C248" s="21">
        <v>30900</v>
      </c>
      <c r="D248" s="21">
        <v>32500</v>
      </c>
      <c r="E248" s="21">
        <v>30000</v>
      </c>
      <c r="F248" s="21">
        <v>30000</v>
      </c>
      <c r="G248" s="21">
        <v>30900</v>
      </c>
      <c r="H248" s="21">
        <v>36000</v>
      </c>
      <c r="I248" s="21">
        <v>28000</v>
      </c>
      <c r="J248" s="21">
        <v>30500</v>
      </c>
      <c r="K248" s="21">
        <v>33000</v>
      </c>
      <c r="L248" s="21">
        <v>36000</v>
      </c>
      <c r="M248" s="21">
        <v>70000</v>
      </c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  <c r="AA248" s="25"/>
      <c r="AB248" s="25"/>
      <c r="AC248" s="25"/>
      <c r="AD248" s="25"/>
      <c r="AE248" s="25"/>
      <c r="AF248" s="25"/>
      <c r="AG248" s="25"/>
      <c r="AH248" s="25"/>
      <c r="AI248" s="25"/>
      <c r="AJ248" s="25"/>
      <c r="AK248" s="25"/>
      <c r="AL248" s="25"/>
    </row>
    <row r="249" spans="1:38" ht="15.75" customHeight="1">
      <c r="A249" s="115">
        <v>3000</v>
      </c>
      <c r="B249" s="21">
        <v>40000</v>
      </c>
      <c r="C249" s="21">
        <v>41500</v>
      </c>
      <c r="D249" s="21">
        <v>43000</v>
      </c>
      <c r="E249" s="21">
        <v>40000</v>
      </c>
      <c r="F249" s="21">
        <v>40000</v>
      </c>
      <c r="G249" s="21">
        <v>41500</v>
      </c>
      <c r="H249" s="21" t="s">
        <v>389</v>
      </c>
      <c r="I249" s="21">
        <v>37000</v>
      </c>
      <c r="J249" s="21">
        <v>40600</v>
      </c>
      <c r="K249" s="21">
        <v>44000</v>
      </c>
      <c r="L249" s="21">
        <v>48000</v>
      </c>
      <c r="M249" s="21">
        <v>95000</v>
      </c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  <c r="AA249" s="25"/>
      <c r="AB249" s="25"/>
      <c r="AC249" s="25"/>
      <c r="AD249" s="25"/>
      <c r="AE249" s="25"/>
      <c r="AF249" s="25"/>
      <c r="AG249" s="25"/>
      <c r="AH249" s="25"/>
      <c r="AI249" s="25"/>
      <c r="AJ249" s="25"/>
      <c r="AK249" s="25"/>
      <c r="AL249" s="25"/>
    </row>
    <row r="250" spans="1:38" ht="15.75" customHeight="1">
      <c r="A250" s="115">
        <v>4000</v>
      </c>
      <c r="B250" s="21">
        <v>50000</v>
      </c>
      <c r="C250" s="21">
        <v>51500</v>
      </c>
      <c r="D250" s="21">
        <v>54000</v>
      </c>
      <c r="E250" s="21">
        <v>50000</v>
      </c>
      <c r="F250" s="21">
        <v>50000</v>
      </c>
      <c r="G250" s="21">
        <v>51500</v>
      </c>
      <c r="H250" s="21">
        <v>62000</v>
      </c>
      <c r="I250" s="21">
        <v>46500</v>
      </c>
      <c r="J250" s="21">
        <v>51000</v>
      </c>
      <c r="K250" s="21">
        <v>55000</v>
      </c>
      <c r="L250" s="21">
        <v>60000</v>
      </c>
      <c r="M250" s="21">
        <v>120000</v>
      </c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  <c r="AA250" s="25"/>
      <c r="AB250" s="25"/>
      <c r="AC250" s="25"/>
      <c r="AD250" s="25"/>
      <c r="AE250" s="25"/>
      <c r="AF250" s="25"/>
      <c r="AG250" s="25"/>
      <c r="AH250" s="25"/>
      <c r="AI250" s="25"/>
      <c r="AJ250" s="25"/>
      <c r="AK250" s="25"/>
      <c r="AL250" s="25"/>
    </row>
    <row r="251" spans="1:38" ht="15.75" customHeight="1">
      <c r="A251" s="115">
        <v>5000</v>
      </c>
      <c r="B251" s="21">
        <v>60000</v>
      </c>
      <c r="C251" s="21">
        <v>62000</v>
      </c>
      <c r="D251" s="21">
        <v>64500</v>
      </c>
      <c r="E251" s="21">
        <v>60000</v>
      </c>
      <c r="F251" s="21">
        <v>60000</v>
      </c>
      <c r="G251" s="21">
        <v>62000</v>
      </c>
      <c r="H251" s="21">
        <v>76000</v>
      </c>
      <c r="I251" s="21">
        <v>55500</v>
      </c>
      <c r="J251" s="21">
        <v>61000</v>
      </c>
      <c r="K251" s="21">
        <v>66000</v>
      </c>
      <c r="L251" s="21">
        <v>72000</v>
      </c>
      <c r="M251" s="21">
        <v>150000</v>
      </c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  <c r="AA251" s="25"/>
      <c r="AB251" s="25"/>
      <c r="AC251" s="25"/>
      <c r="AD251" s="25"/>
      <c r="AE251" s="25"/>
      <c r="AF251" s="25"/>
      <c r="AG251" s="25"/>
      <c r="AH251" s="25"/>
      <c r="AI251" s="25"/>
      <c r="AJ251" s="25"/>
      <c r="AK251" s="25"/>
      <c r="AL251" s="25"/>
    </row>
    <row r="252" spans="1:38" ht="15.75" customHeight="1">
      <c r="A252" s="25"/>
      <c r="B252" s="25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  <c r="AA252" s="25"/>
      <c r="AB252" s="25"/>
      <c r="AC252" s="25"/>
      <c r="AD252" s="25"/>
      <c r="AE252" s="25"/>
      <c r="AF252" s="25"/>
      <c r="AG252" s="25"/>
      <c r="AH252" s="25"/>
      <c r="AI252" s="25"/>
      <c r="AJ252" s="25"/>
      <c r="AK252" s="25"/>
      <c r="AL252" s="25"/>
    </row>
    <row r="253" spans="1:38" ht="15.75" customHeight="1">
      <c r="A253" s="113" t="s">
        <v>390</v>
      </c>
      <c r="B253" s="21">
        <v>10</v>
      </c>
      <c r="C253" s="21">
        <v>15</v>
      </c>
      <c r="D253" s="21">
        <v>20</v>
      </c>
      <c r="E253" s="21">
        <v>25</v>
      </c>
      <c r="F253" s="21">
        <v>30</v>
      </c>
      <c r="G253" s="21">
        <v>35</v>
      </c>
      <c r="H253" s="21">
        <v>40</v>
      </c>
      <c r="I253" s="21">
        <v>45</v>
      </c>
      <c r="J253" s="21">
        <v>50</v>
      </c>
      <c r="K253" s="21">
        <v>55</v>
      </c>
      <c r="L253" s="21">
        <v>60</v>
      </c>
      <c r="M253" s="21">
        <v>90</v>
      </c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  <c r="AA253" s="25"/>
      <c r="AB253" s="25"/>
      <c r="AC253" s="25"/>
      <c r="AD253" s="25"/>
      <c r="AE253" s="25"/>
      <c r="AF253" s="25"/>
      <c r="AG253" s="25"/>
      <c r="AH253" s="25"/>
      <c r="AI253" s="25"/>
      <c r="AJ253" s="25"/>
      <c r="AK253" s="25"/>
      <c r="AL253" s="25"/>
    </row>
    <row r="254" spans="1:38" ht="15.75" customHeight="1">
      <c r="A254" s="198" t="s">
        <v>388</v>
      </c>
      <c r="B254" s="182"/>
      <c r="C254" s="182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  <c r="AA254" s="25"/>
      <c r="AB254" s="25"/>
      <c r="AC254" s="25"/>
      <c r="AD254" s="25"/>
      <c r="AE254" s="25"/>
      <c r="AF254" s="25"/>
      <c r="AG254" s="25"/>
      <c r="AH254" s="25"/>
      <c r="AI254" s="25"/>
      <c r="AJ254" s="25"/>
      <c r="AK254" s="25"/>
      <c r="AL254" s="25"/>
    </row>
    <row r="255" spans="1:38" ht="15.75" customHeight="1">
      <c r="A255" s="114">
        <v>1000</v>
      </c>
      <c r="B255" s="21">
        <v>20000</v>
      </c>
      <c r="C255" s="21">
        <v>20600</v>
      </c>
      <c r="D255" s="21">
        <v>21500</v>
      </c>
      <c r="E255" s="21">
        <v>20000</v>
      </c>
      <c r="F255" s="21">
        <v>20000</v>
      </c>
      <c r="G255" s="21">
        <v>20600</v>
      </c>
      <c r="H255" s="21">
        <v>24000</v>
      </c>
      <c r="I255" s="21">
        <v>18500</v>
      </c>
      <c r="J255" s="21">
        <v>20300</v>
      </c>
      <c r="K255" s="21">
        <v>22000</v>
      </c>
      <c r="L255" s="21">
        <v>24000</v>
      </c>
      <c r="M255" s="21">
        <v>35000</v>
      </c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  <c r="AA255" s="25"/>
      <c r="AB255" s="25"/>
      <c r="AC255" s="25"/>
      <c r="AD255" s="25"/>
      <c r="AE255" s="25"/>
      <c r="AF255" s="25"/>
      <c r="AG255" s="25"/>
      <c r="AH255" s="25"/>
      <c r="AI255" s="25"/>
      <c r="AJ255" s="25"/>
      <c r="AK255" s="25"/>
      <c r="AL255" s="25"/>
    </row>
    <row r="256" spans="1:38" ht="15.75" customHeight="1">
      <c r="A256" s="115">
        <v>2000</v>
      </c>
      <c r="B256" s="21">
        <v>30000</v>
      </c>
      <c r="C256" s="21">
        <v>30900</v>
      </c>
      <c r="D256" s="21">
        <v>32500</v>
      </c>
      <c r="E256" s="21">
        <v>30000</v>
      </c>
      <c r="F256" s="21">
        <v>30000</v>
      </c>
      <c r="G256" s="21">
        <v>30900</v>
      </c>
      <c r="H256" s="21">
        <v>36000</v>
      </c>
      <c r="I256" s="21">
        <v>28000</v>
      </c>
      <c r="J256" s="21">
        <v>30500</v>
      </c>
      <c r="K256" s="21">
        <v>33000</v>
      </c>
      <c r="L256" s="21">
        <v>36000</v>
      </c>
      <c r="M256" s="21">
        <v>70000</v>
      </c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  <c r="AA256" s="25"/>
      <c r="AB256" s="25"/>
      <c r="AC256" s="25"/>
      <c r="AD256" s="25"/>
      <c r="AE256" s="25"/>
      <c r="AF256" s="25"/>
      <c r="AG256" s="25"/>
      <c r="AH256" s="25"/>
      <c r="AI256" s="25"/>
      <c r="AJ256" s="25"/>
      <c r="AK256" s="25"/>
      <c r="AL256" s="25"/>
    </row>
    <row r="257" spans="1:38" ht="15.75" customHeight="1">
      <c r="A257" s="115">
        <v>3000</v>
      </c>
      <c r="B257" s="21">
        <v>40000</v>
      </c>
      <c r="C257" s="21">
        <v>41500</v>
      </c>
      <c r="D257" s="21">
        <v>43000</v>
      </c>
      <c r="E257" s="21">
        <v>40000</v>
      </c>
      <c r="F257" s="21">
        <v>40000</v>
      </c>
      <c r="G257" s="21">
        <v>41500</v>
      </c>
      <c r="H257" s="21" t="s">
        <v>389</v>
      </c>
      <c r="I257" s="21">
        <v>37000</v>
      </c>
      <c r="J257" s="21">
        <v>40600</v>
      </c>
      <c r="K257" s="21">
        <v>44000</v>
      </c>
      <c r="L257" s="21">
        <v>48000</v>
      </c>
      <c r="M257" s="21">
        <v>95000</v>
      </c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  <c r="AA257" s="25"/>
      <c r="AB257" s="25"/>
      <c r="AC257" s="25"/>
      <c r="AD257" s="25"/>
      <c r="AE257" s="25"/>
      <c r="AF257" s="25"/>
      <c r="AG257" s="25"/>
      <c r="AH257" s="25"/>
      <c r="AI257" s="25"/>
      <c r="AJ257" s="25"/>
      <c r="AK257" s="25"/>
      <c r="AL257" s="25"/>
    </row>
    <row r="258" spans="1:38" ht="15.75" customHeight="1">
      <c r="A258" s="115">
        <v>4000</v>
      </c>
      <c r="B258" s="21">
        <v>50000</v>
      </c>
      <c r="C258" s="21">
        <v>51500</v>
      </c>
      <c r="D258" s="21">
        <v>54000</v>
      </c>
      <c r="E258" s="21">
        <v>50000</v>
      </c>
      <c r="F258" s="21">
        <v>50000</v>
      </c>
      <c r="G258" s="21">
        <v>51500</v>
      </c>
      <c r="H258" s="21">
        <v>62000</v>
      </c>
      <c r="I258" s="21">
        <v>46500</v>
      </c>
      <c r="J258" s="21">
        <v>51000</v>
      </c>
      <c r="K258" s="21">
        <v>55000</v>
      </c>
      <c r="L258" s="21">
        <v>60000</v>
      </c>
      <c r="M258" s="21">
        <v>120000</v>
      </c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  <c r="AA258" s="25"/>
      <c r="AB258" s="25"/>
      <c r="AC258" s="25"/>
      <c r="AD258" s="25"/>
      <c r="AE258" s="25"/>
      <c r="AF258" s="25"/>
      <c r="AG258" s="25"/>
      <c r="AH258" s="25"/>
      <c r="AI258" s="25"/>
      <c r="AJ258" s="25"/>
      <c r="AK258" s="25"/>
      <c r="AL258" s="25"/>
    </row>
    <row r="259" spans="1:38" ht="15.75" customHeight="1">
      <c r="A259" s="115">
        <v>5000</v>
      </c>
      <c r="B259" s="21">
        <v>60000</v>
      </c>
      <c r="C259" s="21">
        <v>62000</v>
      </c>
      <c r="D259" s="21">
        <v>64500</v>
      </c>
      <c r="E259" s="21">
        <v>60000</v>
      </c>
      <c r="F259" s="21">
        <v>60000</v>
      </c>
      <c r="G259" s="21">
        <v>62000</v>
      </c>
      <c r="H259" s="21">
        <v>76000</v>
      </c>
      <c r="I259" s="21">
        <v>55500</v>
      </c>
      <c r="J259" s="21">
        <v>61000</v>
      </c>
      <c r="K259" s="21">
        <v>66000</v>
      </c>
      <c r="L259" s="21">
        <v>72000</v>
      </c>
      <c r="M259" s="21">
        <v>150000</v>
      </c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  <c r="AA259" s="25"/>
      <c r="AB259" s="25"/>
      <c r="AC259" s="25"/>
      <c r="AD259" s="25"/>
      <c r="AE259" s="25"/>
      <c r="AF259" s="25"/>
      <c r="AG259" s="25"/>
      <c r="AH259" s="25"/>
      <c r="AI259" s="25"/>
      <c r="AJ259" s="25"/>
      <c r="AK259" s="25"/>
      <c r="AL259" s="25"/>
    </row>
    <row r="260" spans="1:38" ht="15.75" customHeight="1">
      <c r="A260" s="25"/>
      <c r="B260" s="25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  <c r="AA260" s="25"/>
      <c r="AB260" s="25"/>
      <c r="AC260" s="25"/>
      <c r="AD260" s="25"/>
      <c r="AE260" s="25"/>
      <c r="AF260" s="25"/>
      <c r="AG260" s="25"/>
      <c r="AH260" s="25"/>
      <c r="AI260" s="25"/>
      <c r="AJ260" s="25"/>
      <c r="AK260" s="25"/>
      <c r="AL260" s="25"/>
    </row>
    <row r="261" spans="1:38" ht="15.75" customHeight="1">
      <c r="A261" s="113" t="s">
        <v>391</v>
      </c>
      <c r="B261" s="21">
        <v>10</v>
      </c>
      <c r="C261" s="21">
        <v>15</v>
      </c>
      <c r="D261" s="21">
        <v>20</v>
      </c>
      <c r="E261" s="21">
        <v>25</v>
      </c>
      <c r="F261" s="21">
        <v>30</v>
      </c>
      <c r="G261" s="21">
        <v>35</v>
      </c>
      <c r="H261" s="21">
        <v>40</v>
      </c>
      <c r="I261" s="21">
        <v>45</v>
      </c>
      <c r="J261" s="21">
        <v>50</v>
      </c>
      <c r="K261" s="21">
        <v>55</v>
      </c>
      <c r="L261" s="21">
        <v>60</v>
      </c>
      <c r="M261" s="21">
        <v>90</v>
      </c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  <c r="AA261" s="25"/>
      <c r="AB261" s="25"/>
      <c r="AC261" s="25"/>
      <c r="AD261" s="25"/>
      <c r="AE261" s="25"/>
      <c r="AF261" s="25"/>
      <c r="AG261" s="25"/>
      <c r="AH261" s="25"/>
      <c r="AI261" s="25"/>
      <c r="AJ261" s="25"/>
      <c r="AK261" s="25"/>
      <c r="AL261" s="25"/>
    </row>
    <row r="262" spans="1:38" ht="15.75" customHeight="1">
      <c r="A262" s="198" t="s">
        <v>388</v>
      </c>
      <c r="B262" s="182"/>
      <c r="C262" s="182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  <c r="AA262" s="25"/>
      <c r="AB262" s="25"/>
      <c r="AC262" s="25"/>
      <c r="AD262" s="25"/>
      <c r="AE262" s="25"/>
      <c r="AF262" s="25"/>
      <c r="AG262" s="25"/>
      <c r="AH262" s="25"/>
      <c r="AI262" s="25"/>
      <c r="AJ262" s="25"/>
      <c r="AK262" s="25"/>
      <c r="AL262" s="25"/>
    </row>
    <row r="263" spans="1:38" ht="15.75" customHeight="1">
      <c r="A263" s="114">
        <v>1000</v>
      </c>
      <c r="B263" s="21">
        <v>26100</v>
      </c>
      <c r="C263" s="21">
        <v>27200</v>
      </c>
      <c r="D263" s="21">
        <v>28500</v>
      </c>
      <c r="E263" s="21">
        <v>26100</v>
      </c>
      <c r="F263" s="21">
        <v>26100</v>
      </c>
      <c r="G263" s="21">
        <v>27200</v>
      </c>
      <c r="H263" s="21">
        <v>33300</v>
      </c>
      <c r="I263" s="21">
        <v>23500</v>
      </c>
      <c r="J263" s="21">
        <v>26700</v>
      </c>
      <c r="K263" s="21">
        <v>29500</v>
      </c>
      <c r="L263" s="21">
        <v>33300</v>
      </c>
      <c r="M263" s="21">
        <v>52200</v>
      </c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  <c r="AA263" s="25"/>
      <c r="AB263" s="25"/>
      <c r="AC263" s="25"/>
      <c r="AD263" s="25"/>
      <c r="AE263" s="25"/>
      <c r="AF263" s="25"/>
      <c r="AG263" s="25"/>
      <c r="AH263" s="25"/>
      <c r="AI263" s="25"/>
      <c r="AJ263" s="25"/>
      <c r="AK263" s="25"/>
      <c r="AL263" s="25"/>
    </row>
    <row r="264" spans="1:38" ht="15.75" customHeight="1">
      <c r="A264" s="115">
        <v>2000</v>
      </c>
      <c r="B264" s="21">
        <v>39200</v>
      </c>
      <c r="C264" s="21">
        <v>41500</v>
      </c>
      <c r="D264" s="21">
        <v>46300</v>
      </c>
      <c r="E264" s="21">
        <v>39200</v>
      </c>
      <c r="F264" s="21">
        <v>39200</v>
      </c>
      <c r="G264" s="21">
        <v>41500</v>
      </c>
      <c r="H264" s="21">
        <v>54600</v>
      </c>
      <c r="I264" s="21">
        <v>35600</v>
      </c>
      <c r="J264" s="21">
        <v>39800</v>
      </c>
      <c r="K264" s="21">
        <v>46300</v>
      </c>
      <c r="L264" s="21">
        <v>54600</v>
      </c>
      <c r="M264" s="21">
        <v>80700</v>
      </c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  <c r="AB264" s="25"/>
      <c r="AC264" s="25"/>
      <c r="AD264" s="25"/>
      <c r="AE264" s="25"/>
      <c r="AF264" s="25"/>
      <c r="AG264" s="25"/>
      <c r="AH264" s="25"/>
      <c r="AI264" s="25"/>
      <c r="AJ264" s="25"/>
      <c r="AK264" s="25"/>
      <c r="AL264" s="25"/>
    </row>
    <row r="265" spans="1:38" ht="15.75" customHeight="1">
      <c r="A265" s="115">
        <v>3000</v>
      </c>
      <c r="B265" s="21">
        <v>52200</v>
      </c>
      <c r="C265" s="21">
        <v>55600</v>
      </c>
      <c r="D265" s="21">
        <v>62700</v>
      </c>
      <c r="E265" s="21">
        <v>52200</v>
      </c>
      <c r="F265" s="21">
        <v>52200</v>
      </c>
      <c r="G265" s="21">
        <v>55600</v>
      </c>
      <c r="H265" s="21">
        <v>75700</v>
      </c>
      <c r="I265" s="21">
        <v>47300</v>
      </c>
      <c r="J265" s="21">
        <v>52800</v>
      </c>
      <c r="K265" s="21">
        <v>62700</v>
      </c>
      <c r="L265" s="21">
        <v>75700</v>
      </c>
      <c r="M265" s="21">
        <v>120800</v>
      </c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  <c r="AA265" s="25"/>
      <c r="AB265" s="25"/>
      <c r="AC265" s="25"/>
      <c r="AD265" s="25"/>
      <c r="AE265" s="25"/>
      <c r="AF265" s="25"/>
      <c r="AG265" s="25"/>
      <c r="AH265" s="25"/>
      <c r="AI265" s="25"/>
      <c r="AJ265" s="25"/>
      <c r="AK265" s="25"/>
      <c r="AL265" s="25"/>
    </row>
    <row r="266" spans="1:38" ht="15.75" customHeight="1">
      <c r="A266" s="115">
        <v>4000</v>
      </c>
      <c r="B266" s="21">
        <v>65300</v>
      </c>
      <c r="C266" s="21">
        <v>69900</v>
      </c>
      <c r="D266" s="21">
        <v>79400</v>
      </c>
      <c r="E266" s="21">
        <v>65300</v>
      </c>
      <c r="F266" s="21">
        <v>65300</v>
      </c>
      <c r="G266" s="21">
        <v>69900</v>
      </c>
      <c r="H266" s="21">
        <v>97200</v>
      </c>
      <c r="I266" s="21">
        <v>59400</v>
      </c>
      <c r="J266" s="21">
        <v>65900</v>
      </c>
      <c r="K266" s="21">
        <v>79400</v>
      </c>
      <c r="L266" s="21">
        <v>97200</v>
      </c>
      <c r="M266" s="21">
        <v>155300</v>
      </c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  <c r="AA266" s="25"/>
      <c r="AB266" s="25"/>
      <c r="AC266" s="25"/>
      <c r="AD266" s="25"/>
      <c r="AE266" s="25"/>
      <c r="AF266" s="25"/>
      <c r="AG266" s="25"/>
      <c r="AH266" s="25"/>
      <c r="AI266" s="25"/>
      <c r="AJ266" s="25"/>
      <c r="AK266" s="25"/>
      <c r="AL266" s="25"/>
    </row>
    <row r="267" spans="1:38" ht="15.75" customHeight="1">
      <c r="A267" s="115">
        <v>5000</v>
      </c>
      <c r="B267" s="21">
        <v>78300</v>
      </c>
      <c r="C267" s="21">
        <v>84100</v>
      </c>
      <c r="D267" s="21">
        <v>96000</v>
      </c>
      <c r="E267" s="21">
        <v>78300</v>
      </c>
      <c r="F267" s="21">
        <v>78300</v>
      </c>
      <c r="G267" s="21">
        <v>84100</v>
      </c>
      <c r="H267" s="21">
        <v>118500</v>
      </c>
      <c r="I267" s="21">
        <v>71100</v>
      </c>
      <c r="J267" s="21">
        <v>78900</v>
      </c>
      <c r="K267" s="21">
        <v>96000</v>
      </c>
      <c r="L267" s="21">
        <v>118500</v>
      </c>
      <c r="M267" s="21">
        <v>189900</v>
      </c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  <c r="AA267" s="25"/>
      <c r="AB267" s="25"/>
      <c r="AC267" s="25"/>
      <c r="AD267" s="25"/>
      <c r="AE267" s="25"/>
      <c r="AF267" s="25"/>
      <c r="AG267" s="25"/>
      <c r="AH267" s="25"/>
      <c r="AI267" s="25"/>
      <c r="AJ267" s="25"/>
      <c r="AK267" s="25"/>
      <c r="AL267" s="25"/>
    </row>
    <row r="268" spans="1:38" ht="15.75" customHeight="1">
      <c r="A268" s="25"/>
      <c r="B268" s="25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  <c r="AA268" s="25"/>
      <c r="AB268" s="25"/>
      <c r="AC268" s="25"/>
      <c r="AD268" s="25"/>
      <c r="AE268" s="25"/>
      <c r="AF268" s="25"/>
      <c r="AG268" s="25"/>
      <c r="AH268" s="25"/>
      <c r="AI268" s="25"/>
      <c r="AJ268" s="25"/>
      <c r="AK268" s="25"/>
      <c r="AL268" s="25"/>
    </row>
    <row r="269" spans="1:38" ht="15.75" customHeight="1">
      <c r="A269" s="113" t="s">
        <v>392</v>
      </c>
      <c r="B269" s="21">
        <v>10</v>
      </c>
      <c r="C269" s="21">
        <v>15</v>
      </c>
      <c r="D269" s="21">
        <v>20</v>
      </c>
      <c r="E269" s="21">
        <v>25</v>
      </c>
      <c r="F269" s="21">
        <v>30</v>
      </c>
      <c r="G269" s="21">
        <v>35</v>
      </c>
      <c r="H269" s="21">
        <v>40</v>
      </c>
      <c r="I269" s="21">
        <v>45</v>
      </c>
      <c r="J269" s="21">
        <v>50</v>
      </c>
      <c r="K269" s="21">
        <v>55</v>
      </c>
      <c r="L269" s="21">
        <v>60</v>
      </c>
      <c r="M269" s="21">
        <v>90</v>
      </c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  <c r="AA269" s="25"/>
      <c r="AB269" s="25"/>
      <c r="AC269" s="25"/>
      <c r="AD269" s="25"/>
      <c r="AE269" s="25"/>
      <c r="AF269" s="25"/>
      <c r="AG269" s="25"/>
      <c r="AH269" s="25"/>
      <c r="AI269" s="25"/>
      <c r="AJ269" s="25"/>
      <c r="AK269" s="25"/>
      <c r="AL269" s="25"/>
    </row>
    <row r="270" spans="1:38" ht="15.75" customHeight="1">
      <c r="A270" s="198" t="s">
        <v>388</v>
      </c>
      <c r="B270" s="182"/>
      <c r="C270" s="182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  <c r="AA270" s="25"/>
      <c r="AB270" s="25"/>
      <c r="AC270" s="25"/>
      <c r="AD270" s="25"/>
      <c r="AE270" s="25"/>
      <c r="AF270" s="25"/>
      <c r="AG270" s="25"/>
      <c r="AH270" s="25"/>
      <c r="AI270" s="25"/>
      <c r="AJ270" s="25"/>
      <c r="AK270" s="25"/>
      <c r="AL270" s="25"/>
    </row>
    <row r="271" spans="1:38" ht="15.75" customHeight="1">
      <c r="A271" s="114">
        <v>1000</v>
      </c>
      <c r="B271" s="21">
        <v>26100</v>
      </c>
      <c r="C271" s="21">
        <v>27200</v>
      </c>
      <c r="D271" s="21">
        <v>28500</v>
      </c>
      <c r="E271" s="21">
        <v>26100</v>
      </c>
      <c r="F271" s="21">
        <v>26100</v>
      </c>
      <c r="G271" s="21">
        <v>27200</v>
      </c>
      <c r="H271" s="21">
        <v>33300</v>
      </c>
      <c r="I271" s="21">
        <v>23500</v>
      </c>
      <c r="J271" s="21">
        <v>26700</v>
      </c>
      <c r="K271" s="21">
        <v>29500</v>
      </c>
      <c r="L271" s="21">
        <v>33300</v>
      </c>
      <c r="M271" s="21">
        <v>52200</v>
      </c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  <c r="AA271" s="25"/>
      <c r="AB271" s="25"/>
      <c r="AC271" s="25"/>
      <c r="AD271" s="25"/>
      <c r="AE271" s="25"/>
      <c r="AF271" s="25"/>
      <c r="AG271" s="25"/>
      <c r="AH271" s="25"/>
      <c r="AI271" s="25"/>
      <c r="AJ271" s="25"/>
      <c r="AK271" s="25"/>
      <c r="AL271" s="25"/>
    </row>
    <row r="272" spans="1:38" ht="15.75" customHeight="1">
      <c r="A272" s="115">
        <v>2000</v>
      </c>
      <c r="B272" s="21">
        <v>39200</v>
      </c>
      <c r="C272" s="21">
        <v>41500</v>
      </c>
      <c r="D272" s="21">
        <v>46300</v>
      </c>
      <c r="E272" s="21">
        <v>39200</v>
      </c>
      <c r="F272" s="21">
        <v>39200</v>
      </c>
      <c r="G272" s="21">
        <v>41500</v>
      </c>
      <c r="H272" s="21">
        <v>54600</v>
      </c>
      <c r="I272" s="21">
        <v>35600</v>
      </c>
      <c r="J272" s="21">
        <v>39800</v>
      </c>
      <c r="K272" s="21">
        <v>46300</v>
      </c>
      <c r="L272" s="21">
        <v>54600</v>
      </c>
      <c r="M272" s="21">
        <v>80700</v>
      </c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  <c r="AA272" s="25"/>
      <c r="AB272" s="25"/>
      <c r="AC272" s="25"/>
      <c r="AD272" s="25"/>
      <c r="AE272" s="25"/>
      <c r="AF272" s="25"/>
      <c r="AG272" s="25"/>
      <c r="AH272" s="25"/>
      <c r="AI272" s="25"/>
      <c r="AJ272" s="25"/>
      <c r="AK272" s="25"/>
      <c r="AL272" s="25"/>
    </row>
    <row r="273" spans="1:38" ht="15.75" customHeight="1">
      <c r="A273" s="115">
        <v>3000</v>
      </c>
      <c r="B273" s="21">
        <v>52200</v>
      </c>
      <c r="C273" s="21">
        <v>55600</v>
      </c>
      <c r="D273" s="21">
        <v>62700</v>
      </c>
      <c r="E273" s="21">
        <v>52200</v>
      </c>
      <c r="F273" s="21">
        <v>52200</v>
      </c>
      <c r="G273" s="21">
        <v>55600</v>
      </c>
      <c r="H273" s="21">
        <v>75700</v>
      </c>
      <c r="I273" s="21">
        <v>47300</v>
      </c>
      <c r="J273" s="21">
        <v>52800</v>
      </c>
      <c r="K273" s="21">
        <v>62700</v>
      </c>
      <c r="L273" s="21">
        <v>75700</v>
      </c>
      <c r="M273" s="21">
        <v>120800</v>
      </c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  <c r="AA273" s="25"/>
      <c r="AB273" s="25"/>
      <c r="AC273" s="25"/>
      <c r="AD273" s="25"/>
      <c r="AE273" s="25"/>
      <c r="AF273" s="25"/>
      <c r="AG273" s="25"/>
      <c r="AH273" s="25"/>
      <c r="AI273" s="25"/>
      <c r="AJ273" s="25"/>
      <c r="AK273" s="25"/>
      <c r="AL273" s="25"/>
    </row>
    <row r="274" spans="1:38" ht="15.75" customHeight="1">
      <c r="A274" s="115">
        <v>4000</v>
      </c>
      <c r="B274" s="21">
        <v>65300</v>
      </c>
      <c r="C274" s="21">
        <v>69900</v>
      </c>
      <c r="D274" s="21">
        <v>79400</v>
      </c>
      <c r="E274" s="21">
        <v>65300</v>
      </c>
      <c r="F274" s="21">
        <v>65300</v>
      </c>
      <c r="G274" s="21">
        <v>69900</v>
      </c>
      <c r="H274" s="21">
        <v>97200</v>
      </c>
      <c r="I274" s="21">
        <v>59400</v>
      </c>
      <c r="J274" s="21">
        <v>65900</v>
      </c>
      <c r="K274" s="21">
        <v>79400</v>
      </c>
      <c r="L274" s="21">
        <v>97200</v>
      </c>
      <c r="M274" s="21">
        <v>155300</v>
      </c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  <c r="AA274" s="25"/>
      <c r="AB274" s="25"/>
      <c r="AC274" s="25"/>
      <c r="AD274" s="25"/>
      <c r="AE274" s="25"/>
      <c r="AF274" s="25"/>
      <c r="AG274" s="25"/>
      <c r="AH274" s="25"/>
      <c r="AI274" s="25"/>
      <c r="AJ274" s="25"/>
      <c r="AK274" s="25"/>
      <c r="AL274" s="25"/>
    </row>
    <row r="275" spans="1:38" ht="15.75" customHeight="1">
      <c r="A275" s="115">
        <v>5000</v>
      </c>
      <c r="B275" s="21">
        <v>78300</v>
      </c>
      <c r="C275" s="21">
        <v>84100</v>
      </c>
      <c r="D275" s="21">
        <v>96000</v>
      </c>
      <c r="E275" s="21">
        <v>78300</v>
      </c>
      <c r="F275" s="21">
        <v>78300</v>
      </c>
      <c r="G275" s="21">
        <v>84100</v>
      </c>
      <c r="H275" s="21">
        <v>118500</v>
      </c>
      <c r="I275" s="21">
        <v>71100</v>
      </c>
      <c r="J275" s="21">
        <v>78900</v>
      </c>
      <c r="K275" s="21">
        <v>96000</v>
      </c>
      <c r="L275" s="21">
        <v>118500</v>
      </c>
      <c r="M275" s="21">
        <v>189900</v>
      </c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  <c r="AA275" s="25"/>
      <c r="AB275" s="25"/>
      <c r="AC275" s="25"/>
      <c r="AD275" s="25"/>
      <c r="AE275" s="25"/>
      <c r="AF275" s="25"/>
      <c r="AG275" s="25"/>
      <c r="AH275" s="25"/>
      <c r="AI275" s="25"/>
      <c r="AJ275" s="25"/>
      <c r="AK275" s="25"/>
      <c r="AL275" s="25"/>
    </row>
    <row r="276" spans="1:38" ht="15.75" customHeight="1">
      <c r="A276" s="25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  <c r="AA276" s="25"/>
      <c r="AB276" s="25"/>
      <c r="AC276" s="25"/>
      <c r="AD276" s="25"/>
      <c r="AE276" s="25"/>
      <c r="AF276" s="25"/>
      <c r="AG276" s="25"/>
      <c r="AH276" s="25"/>
      <c r="AI276" s="25"/>
      <c r="AJ276" s="25"/>
      <c r="AK276" s="25"/>
      <c r="AL276" s="25"/>
    </row>
    <row r="277" spans="1:38" ht="15.75" customHeight="1">
      <c r="A277" s="113" t="s">
        <v>393</v>
      </c>
      <c r="B277" s="21">
        <v>10</v>
      </c>
      <c r="C277" s="21">
        <v>15</v>
      </c>
      <c r="D277" s="21">
        <v>20</v>
      </c>
      <c r="E277" s="21">
        <v>25</v>
      </c>
      <c r="F277" s="21">
        <v>30</v>
      </c>
      <c r="G277" s="21">
        <v>35</v>
      </c>
      <c r="H277" s="21">
        <v>40</v>
      </c>
      <c r="I277" s="21">
        <v>45</v>
      </c>
      <c r="J277" s="21">
        <v>50</v>
      </c>
      <c r="K277" s="21">
        <v>55</v>
      </c>
      <c r="L277" s="21">
        <v>60</v>
      </c>
      <c r="M277" s="21">
        <v>90</v>
      </c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  <c r="AA277" s="25"/>
      <c r="AB277" s="25"/>
      <c r="AC277" s="25"/>
      <c r="AD277" s="25"/>
      <c r="AE277" s="25"/>
      <c r="AF277" s="25"/>
      <c r="AG277" s="25"/>
      <c r="AH277" s="25"/>
      <c r="AI277" s="25"/>
      <c r="AJ277" s="25"/>
      <c r="AK277" s="25"/>
      <c r="AL277" s="25"/>
    </row>
    <row r="278" spans="1:38" ht="15.75" customHeight="1">
      <c r="A278" s="198" t="s">
        <v>388</v>
      </c>
      <c r="B278" s="182"/>
      <c r="C278" s="182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  <c r="AA278" s="25"/>
      <c r="AB278" s="25"/>
      <c r="AC278" s="25"/>
      <c r="AD278" s="25"/>
      <c r="AE278" s="25"/>
      <c r="AF278" s="25"/>
      <c r="AG278" s="25"/>
      <c r="AH278" s="25"/>
      <c r="AI278" s="25"/>
      <c r="AJ278" s="25"/>
      <c r="AK278" s="25"/>
      <c r="AL278" s="25"/>
    </row>
    <row r="279" spans="1:38" ht="15.75" customHeight="1">
      <c r="A279" s="114">
        <v>1000</v>
      </c>
      <c r="B279" s="21">
        <v>26100</v>
      </c>
      <c r="C279" s="21">
        <v>27200</v>
      </c>
      <c r="D279" s="21">
        <v>28500</v>
      </c>
      <c r="E279" s="21">
        <v>26100</v>
      </c>
      <c r="F279" s="21">
        <v>26100</v>
      </c>
      <c r="G279" s="21">
        <v>27200</v>
      </c>
      <c r="H279" s="21">
        <v>33300</v>
      </c>
      <c r="I279" s="21">
        <v>23500</v>
      </c>
      <c r="J279" s="21">
        <v>26700</v>
      </c>
      <c r="K279" s="21">
        <v>29500</v>
      </c>
      <c r="L279" s="21">
        <v>33300</v>
      </c>
      <c r="M279" s="21">
        <v>52200</v>
      </c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  <c r="AA279" s="25"/>
      <c r="AB279" s="25"/>
      <c r="AC279" s="25"/>
      <c r="AD279" s="25"/>
      <c r="AE279" s="25"/>
      <c r="AF279" s="25"/>
      <c r="AG279" s="25"/>
      <c r="AH279" s="25"/>
      <c r="AI279" s="25"/>
      <c r="AJ279" s="25"/>
      <c r="AK279" s="25"/>
      <c r="AL279" s="25"/>
    </row>
    <row r="280" spans="1:38" ht="15.75" customHeight="1">
      <c r="A280" s="115">
        <v>2000</v>
      </c>
      <c r="B280" s="21">
        <v>39200</v>
      </c>
      <c r="C280" s="21">
        <v>41500</v>
      </c>
      <c r="D280" s="21">
        <v>46300</v>
      </c>
      <c r="E280" s="21">
        <v>39200</v>
      </c>
      <c r="F280" s="21">
        <v>39200</v>
      </c>
      <c r="G280" s="21">
        <v>41500</v>
      </c>
      <c r="H280" s="21">
        <v>54600</v>
      </c>
      <c r="I280" s="21">
        <v>35600</v>
      </c>
      <c r="J280" s="21">
        <v>39800</v>
      </c>
      <c r="K280" s="21">
        <v>46300</v>
      </c>
      <c r="L280" s="21">
        <v>54600</v>
      </c>
      <c r="M280" s="21">
        <v>80700</v>
      </c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  <c r="AA280" s="25"/>
      <c r="AB280" s="25"/>
      <c r="AC280" s="25"/>
      <c r="AD280" s="25"/>
      <c r="AE280" s="25"/>
      <c r="AF280" s="25"/>
      <c r="AG280" s="25"/>
      <c r="AH280" s="25"/>
      <c r="AI280" s="25"/>
      <c r="AJ280" s="25"/>
      <c r="AK280" s="25"/>
      <c r="AL280" s="25"/>
    </row>
    <row r="281" spans="1:38" ht="15.75" customHeight="1">
      <c r="A281" s="115">
        <v>3000</v>
      </c>
      <c r="B281" s="21">
        <v>52200</v>
      </c>
      <c r="C281" s="21">
        <v>55600</v>
      </c>
      <c r="D281" s="21">
        <v>62700</v>
      </c>
      <c r="E281" s="21">
        <v>52200</v>
      </c>
      <c r="F281" s="21">
        <v>52200</v>
      </c>
      <c r="G281" s="21">
        <v>55600</v>
      </c>
      <c r="H281" s="21">
        <v>75700</v>
      </c>
      <c r="I281" s="21">
        <v>47300</v>
      </c>
      <c r="J281" s="21">
        <v>52800</v>
      </c>
      <c r="K281" s="21">
        <v>62700</v>
      </c>
      <c r="L281" s="21">
        <v>75700</v>
      </c>
      <c r="M281" s="21">
        <v>120800</v>
      </c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  <c r="AA281" s="25"/>
      <c r="AB281" s="25"/>
      <c r="AC281" s="25"/>
      <c r="AD281" s="25"/>
      <c r="AE281" s="25"/>
      <c r="AF281" s="25"/>
      <c r="AG281" s="25"/>
      <c r="AH281" s="25"/>
      <c r="AI281" s="25"/>
      <c r="AJ281" s="25"/>
      <c r="AK281" s="25"/>
      <c r="AL281" s="25"/>
    </row>
    <row r="282" spans="1:38" ht="15.75" customHeight="1">
      <c r="A282" s="115">
        <v>4000</v>
      </c>
      <c r="B282" s="21">
        <v>65300</v>
      </c>
      <c r="C282" s="21">
        <v>69900</v>
      </c>
      <c r="D282" s="21">
        <v>79400</v>
      </c>
      <c r="E282" s="21">
        <v>65300</v>
      </c>
      <c r="F282" s="21">
        <v>65300</v>
      </c>
      <c r="G282" s="21">
        <v>69900</v>
      </c>
      <c r="H282" s="21">
        <v>97200</v>
      </c>
      <c r="I282" s="21">
        <v>59400</v>
      </c>
      <c r="J282" s="21">
        <v>65900</v>
      </c>
      <c r="K282" s="21">
        <v>79400</v>
      </c>
      <c r="L282" s="21">
        <v>97200</v>
      </c>
      <c r="M282" s="21">
        <v>155300</v>
      </c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  <c r="AA282" s="25"/>
      <c r="AB282" s="25"/>
      <c r="AC282" s="25"/>
      <c r="AD282" s="25"/>
      <c r="AE282" s="25"/>
      <c r="AF282" s="25"/>
      <c r="AG282" s="25"/>
      <c r="AH282" s="25"/>
      <c r="AI282" s="25"/>
      <c r="AJ282" s="25"/>
      <c r="AK282" s="25"/>
      <c r="AL282" s="25"/>
    </row>
    <row r="283" spans="1:38" ht="15.75" customHeight="1">
      <c r="A283" s="115">
        <v>5000</v>
      </c>
      <c r="B283" s="21">
        <v>78300</v>
      </c>
      <c r="C283" s="21">
        <v>84100</v>
      </c>
      <c r="D283" s="21">
        <v>96000</v>
      </c>
      <c r="E283" s="21">
        <v>78300</v>
      </c>
      <c r="F283" s="21">
        <v>78300</v>
      </c>
      <c r="G283" s="21">
        <v>84100</v>
      </c>
      <c r="H283" s="21">
        <v>118500</v>
      </c>
      <c r="I283" s="21">
        <v>71100</v>
      </c>
      <c r="J283" s="21">
        <v>78900</v>
      </c>
      <c r="K283" s="21">
        <v>96000</v>
      </c>
      <c r="L283" s="21">
        <v>118500</v>
      </c>
      <c r="M283" s="21">
        <v>189900</v>
      </c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  <c r="AA283" s="25"/>
      <c r="AB283" s="25"/>
      <c r="AC283" s="25"/>
      <c r="AD283" s="25"/>
      <c r="AE283" s="25"/>
      <c r="AF283" s="25"/>
      <c r="AG283" s="25"/>
      <c r="AH283" s="25"/>
      <c r="AI283" s="25"/>
      <c r="AJ283" s="25"/>
      <c r="AK283" s="25"/>
      <c r="AL283" s="25"/>
    </row>
    <row r="284" spans="1:38" ht="15.75" customHeight="1">
      <c r="A284" s="25"/>
      <c r="B284" s="25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  <c r="AA284" s="25"/>
      <c r="AB284" s="25"/>
      <c r="AC284" s="25"/>
      <c r="AD284" s="25"/>
      <c r="AE284" s="25"/>
      <c r="AF284" s="25"/>
      <c r="AG284" s="25"/>
      <c r="AH284" s="25"/>
      <c r="AI284" s="25"/>
      <c r="AJ284" s="25"/>
      <c r="AK284" s="25"/>
      <c r="AL284" s="25"/>
    </row>
    <row r="285" spans="1:38" ht="15.75" customHeight="1">
      <c r="A285" s="116" t="s">
        <v>394</v>
      </c>
      <c r="B285" s="21">
        <v>3525</v>
      </c>
      <c r="C285" s="21">
        <v>4030</v>
      </c>
      <c r="D285" s="21">
        <v>4220</v>
      </c>
      <c r="E285" s="21">
        <v>5020</v>
      </c>
      <c r="F285" s="21">
        <v>5030</v>
      </c>
      <c r="G285" s="21">
        <v>5515</v>
      </c>
      <c r="H285" s="21">
        <v>5520</v>
      </c>
      <c r="I285" s="21">
        <v>5533</v>
      </c>
      <c r="J285" s="21">
        <v>9040</v>
      </c>
      <c r="K285" s="21">
        <v>9050</v>
      </c>
      <c r="L285" s="21">
        <v>9060</v>
      </c>
      <c r="M285" s="21">
        <v>9070</v>
      </c>
      <c r="N285" s="21">
        <v>9080</v>
      </c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  <c r="AA285" s="25"/>
      <c r="AB285" s="25"/>
      <c r="AC285" s="25"/>
      <c r="AD285" s="25"/>
      <c r="AE285" s="25"/>
      <c r="AF285" s="25"/>
      <c r="AG285" s="25"/>
      <c r="AH285" s="25"/>
      <c r="AI285" s="25"/>
      <c r="AJ285" s="25"/>
      <c r="AK285" s="25"/>
      <c r="AL285" s="25"/>
    </row>
    <row r="286" spans="1:38" ht="15.75" customHeight="1">
      <c r="A286" s="198" t="s">
        <v>388</v>
      </c>
      <c r="B286" s="182"/>
      <c r="C286" s="182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  <c r="AA286" s="25"/>
      <c r="AB286" s="25"/>
      <c r="AC286" s="25"/>
      <c r="AD286" s="25"/>
      <c r="AE286" s="25"/>
      <c r="AF286" s="25"/>
      <c r="AG286" s="25"/>
      <c r="AH286" s="25"/>
      <c r="AI286" s="25"/>
      <c r="AJ286" s="25"/>
      <c r="AK286" s="25"/>
      <c r="AL286" s="25"/>
    </row>
    <row r="287" spans="1:38" ht="15.75" customHeight="1">
      <c r="A287" s="102">
        <v>1000</v>
      </c>
      <c r="B287" s="21">
        <v>18000</v>
      </c>
      <c r="C287" s="21">
        <v>22000</v>
      </c>
      <c r="D287" s="21">
        <v>18000</v>
      </c>
      <c r="E287" s="21">
        <v>20000</v>
      </c>
      <c r="F287" s="21">
        <v>22000</v>
      </c>
      <c r="G287" s="21">
        <v>18000</v>
      </c>
      <c r="H287" s="21">
        <v>20300</v>
      </c>
      <c r="I287" s="21">
        <v>22000</v>
      </c>
      <c r="J287" s="21">
        <v>21500</v>
      </c>
      <c r="K287" s="21">
        <v>24000</v>
      </c>
      <c r="L287" s="21">
        <v>27000</v>
      </c>
      <c r="M287" s="21">
        <v>29500</v>
      </c>
      <c r="N287" s="21">
        <v>32000</v>
      </c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  <c r="AA287" s="25"/>
      <c r="AB287" s="25"/>
      <c r="AC287" s="25"/>
      <c r="AD287" s="25"/>
      <c r="AE287" s="25"/>
      <c r="AF287" s="25"/>
      <c r="AG287" s="25"/>
      <c r="AH287" s="25"/>
      <c r="AI287" s="25"/>
      <c r="AJ287" s="25"/>
      <c r="AK287" s="25"/>
      <c r="AL287" s="25"/>
    </row>
    <row r="288" spans="1:38" ht="15.75" customHeight="1">
      <c r="A288" s="104">
        <v>2000</v>
      </c>
      <c r="B288" s="21">
        <v>27000</v>
      </c>
      <c r="C288" s="21">
        <v>33000</v>
      </c>
      <c r="D288" s="21">
        <v>27000</v>
      </c>
      <c r="E288" s="21">
        <v>30000</v>
      </c>
      <c r="F288" s="21">
        <v>33000</v>
      </c>
      <c r="G288" s="21">
        <v>27000</v>
      </c>
      <c r="H288" s="21">
        <v>30500</v>
      </c>
      <c r="I288" s="21">
        <v>33000</v>
      </c>
      <c r="J288" s="21">
        <v>43000</v>
      </c>
      <c r="K288" s="21">
        <v>48000</v>
      </c>
      <c r="L288" s="21">
        <v>54000</v>
      </c>
      <c r="M288" s="21">
        <v>59000</v>
      </c>
      <c r="N288" s="21">
        <v>64000</v>
      </c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  <c r="AA288" s="25"/>
      <c r="AB288" s="25"/>
      <c r="AC288" s="25"/>
      <c r="AD288" s="25"/>
      <c r="AE288" s="25"/>
      <c r="AF288" s="25"/>
      <c r="AG288" s="25"/>
      <c r="AH288" s="25"/>
      <c r="AI288" s="25"/>
      <c r="AJ288" s="25"/>
      <c r="AK288" s="25"/>
      <c r="AL288" s="25"/>
    </row>
    <row r="289" spans="1:38" ht="15.75" customHeight="1">
      <c r="A289" s="104">
        <v>3000</v>
      </c>
      <c r="B289" s="21">
        <v>36000</v>
      </c>
      <c r="C289" s="21">
        <v>44000</v>
      </c>
      <c r="D289" s="21">
        <v>36000</v>
      </c>
      <c r="E289" s="21">
        <v>40000</v>
      </c>
      <c r="F289" s="21">
        <v>44000</v>
      </c>
      <c r="G289" s="21">
        <v>36000</v>
      </c>
      <c r="H289" s="21">
        <v>40600</v>
      </c>
      <c r="I289" s="21">
        <v>44000</v>
      </c>
      <c r="J289" s="21">
        <v>64500</v>
      </c>
      <c r="K289" s="21">
        <v>72000</v>
      </c>
      <c r="L289" s="21">
        <v>76000</v>
      </c>
      <c r="M289" s="21">
        <v>84000</v>
      </c>
      <c r="N289" s="21">
        <v>90000</v>
      </c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  <c r="AA289" s="25"/>
      <c r="AB289" s="25"/>
      <c r="AC289" s="25"/>
      <c r="AD289" s="25"/>
      <c r="AE289" s="25"/>
      <c r="AF289" s="25"/>
      <c r="AG289" s="25"/>
      <c r="AH289" s="25"/>
      <c r="AI289" s="25"/>
      <c r="AJ289" s="25"/>
      <c r="AK289" s="25"/>
      <c r="AL289" s="25"/>
    </row>
    <row r="290" spans="1:38" ht="15.75" customHeight="1">
      <c r="A290" s="104">
        <v>4000</v>
      </c>
      <c r="B290" s="21">
        <v>45000</v>
      </c>
      <c r="C290" s="21">
        <v>55000</v>
      </c>
      <c r="D290" s="21">
        <v>45000</v>
      </c>
      <c r="E290" s="21">
        <v>50000</v>
      </c>
      <c r="F290" s="21">
        <v>55000</v>
      </c>
      <c r="G290" s="21">
        <v>45000</v>
      </c>
      <c r="H290" s="21">
        <v>51000</v>
      </c>
      <c r="I290" s="21">
        <v>55000</v>
      </c>
      <c r="J290" s="21">
        <v>86000</v>
      </c>
      <c r="K290" s="21">
        <v>95000</v>
      </c>
      <c r="L290" s="21">
        <v>100000</v>
      </c>
      <c r="M290" s="21">
        <v>110000</v>
      </c>
      <c r="N290" s="21">
        <v>115000</v>
      </c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25"/>
      <c r="AH290" s="25"/>
      <c r="AI290" s="25"/>
      <c r="AJ290" s="25"/>
      <c r="AK290" s="25"/>
      <c r="AL290" s="25"/>
    </row>
    <row r="291" spans="1:38" ht="15.75" customHeight="1">
      <c r="A291" s="104">
        <v>5000</v>
      </c>
      <c r="B291" s="21">
        <v>54000</v>
      </c>
      <c r="C291" s="21">
        <v>66000</v>
      </c>
      <c r="D291" s="21">
        <v>54000</v>
      </c>
      <c r="E291" s="21">
        <v>60000</v>
      </c>
      <c r="F291" s="21">
        <v>66000</v>
      </c>
      <c r="G291" s="21">
        <v>54000</v>
      </c>
      <c r="H291" s="21">
        <v>61000</v>
      </c>
      <c r="I291" s="21">
        <v>66000</v>
      </c>
      <c r="J291" s="21">
        <v>107500</v>
      </c>
      <c r="K291" s="21">
        <v>120000</v>
      </c>
      <c r="L291" s="21">
        <v>125000</v>
      </c>
      <c r="M291" s="21">
        <v>135000</v>
      </c>
      <c r="N291" s="21">
        <v>140000</v>
      </c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  <c r="AA291" s="25"/>
      <c r="AB291" s="25"/>
      <c r="AC291" s="25"/>
      <c r="AD291" s="25"/>
      <c r="AE291" s="25"/>
      <c r="AF291" s="25"/>
      <c r="AG291" s="25"/>
      <c r="AH291" s="25"/>
      <c r="AI291" s="25"/>
      <c r="AJ291" s="25"/>
      <c r="AK291" s="25"/>
      <c r="AL291" s="25"/>
    </row>
    <row r="292" spans="1:38" ht="15.75" customHeight="1">
      <c r="A292" s="25"/>
      <c r="B292" s="25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  <c r="AA292" s="25"/>
      <c r="AB292" s="25"/>
      <c r="AC292" s="25"/>
      <c r="AD292" s="25"/>
      <c r="AE292" s="25"/>
      <c r="AF292" s="25"/>
      <c r="AG292" s="25"/>
      <c r="AH292" s="25"/>
      <c r="AI292" s="25"/>
      <c r="AJ292" s="25"/>
      <c r="AK292" s="25"/>
      <c r="AL292" s="25"/>
    </row>
    <row r="293" spans="1:38" ht="15.75" customHeight="1">
      <c r="A293" s="116" t="s">
        <v>395</v>
      </c>
      <c r="B293" s="21">
        <v>3525</v>
      </c>
      <c r="C293" s="21">
        <v>4030</v>
      </c>
      <c r="D293" s="21">
        <v>4220</v>
      </c>
      <c r="E293" s="21">
        <v>5020</v>
      </c>
      <c r="F293" s="21">
        <v>5030</v>
      </c>
      <c r="G293" s="21">
        <v>5515</v>
      </c>
      <c r="H293" s="21">
        <v>5520</v>
      </c>
      <c r="I293" s="21">
        <v>5533</v>
      </c>
      <c r="J293" s="21">
        <v>9040</v>
      </c>
      <c r="K293" s="21">
        <v>9050</v>
      </c>
      <c r="L293" s="21">
        <v>9060</v>
      </c>
      <c r="M293" s="21">
        <v>9070</v>
      </c>
      <c r="N293" s="21">
        <v>9080</v>
      </c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  <c r="AA293" s="25"/>
      <c r="AB293" s="25"/>
      <c r="AC293" s="25"/>
      <c r="AD293" s="25"/>
      <c r="AE293" s="25"/>
      <c r="AF293" s="25"/>
      <c r="AG293" s="25"/>
      <c r="AH293" s="25"/>
      <c r="AI293" s="25"/>
      <c r="AJ293" s="25"/>
      <c r="AK293" s="25"/>
      <c r="AL293" s="25"/>
    </row>
    <row r="294" spans="1:38" ht="15.75" customHeight="1">
      <c r="A294" s="198" t="s">
        <v>388</v>
      </c>
      <c r="B294" s="182"/>
      <c r="C294" s="182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  <c r="AA294" s="25"/>
      <c r="AB294" s="25"/>
      <c r="AC294" s="25"/>
      <c r="AD294" s="25"/>
      <c r="AE294" s="25"/>
      <c r="AF294" s="25"/>
      <c r="AG294" s="25"/>
      <c r="AH294" s="25"/>
      <c r="AI294" s="25"/>
      <c r="AJ294" s="25"/>
      <c r="AK294" s="25"/>
      <c r="AL294" s="25"/>
    </row>
    <row r="295" spans="1:38" ht="15.75" customHeight="1">
      <c r="A295" s="102">
        <v>1000</v>
      </c>
      <c r="B295" s="21">
        <v>18000</v>
      </c>
      <c r="C295" s="21">
        <v>22000</v>
      </c>
      <c r="D295" s="21">
        <v>18000</v>
      </c>
      <c r="E295" s="21">
        <v>20000</v>
      </c>
      <c r="F295" s="21">
        <v>22000</v>
      </c>
      <c r="G295" s="21">
        <v>18000</v>
      </c>
      <c r="H295" s="21">
        <v>20300</v>
      </c>
      <c r="I295" s="21">
        <v>22000</v>
      </c>
      <c r="J295" s="21">
        <v>21500</v>
      </c>
      <c r="K295" s="21">
        <v>24000</v>
      </c>
      <c r="L295" s="21">
        <v>27000</v>
      </c>
      <c r="M295" s="21">
        <v>29500</v>
      </c>
      <c r="N295" s="21">
        <v>32000</v>
      </c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  <c r="AA295" s="25"/>
      <c r="AB295" s="25"/>
      <c r="AC295" s="25"/>
      <c r="AD295" s="25"/>
      <c r="AE295" s="25"/>
      <c r="AF295" s="25"/>
      <c r="AG295" s="25"/>
      <c r="AH295" s="25"/>
      <c r="AI295" s="25"/>
      <c r="AJ295" s="25"/>
      <c r="AK295" s="25"/>
      <c r="AL295" s="25"/>
    </row>
    <row r="296" spans="1:38" ht="15.75" customHeight="1">
      <c r="A296" s="104">
        <v>2000</v>
      </c>
      <c r="B296" s="21">
        <v>27000</v>
      </c>
      <c r="C296" s="21">
        <v>33000</v>
      </c>
      <c r="D296" s="21">
        <v>27000</v>
      </c>
      <c r="E296" s="21">
        <v>30000</v>
      </c>
      <c r="F296" s="21">
        <v>33000</v>
      </c>
      <c r="G296" s="21">
        <v>27000</v>
      </c>
      <c r="H296" s="21">
        <v>30500</v>
      </c>
      <c r="I296" s="21">
        <v>33000</v>
      </c>
      <c r="J296" s="21">
        <v>43000</v>
      </c>
      <c r="K296" s="21">
        <v>48000</v>
      </c>
      <c r="L296" s="21">
        <v>54000</v>
      </c>
      <c r="M296" s="21">
        <v>59000</v>
      </c>
      <c r="N296" s="21">
        <v>64000</v>
      </c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  <c r="AA296" s="25"/>
      <c r="AB296" s="25"/>
      <c r="AC296" s="25"/>
      <c r="AD296" s="25"/>
      <c r="AE296" s="25"/>
      <c r="AF296" s="25"/>
      <c r="AG296" s="25"/>
      <c r="AH296" s="25"/>
      <c r="AI296" s="25"/>
      <c r="AJ296" s="25"/>
      <c r="AK296" s="25"/>
      <c r="AL296" s="25"/>
    </row>
    <row r="297" spans="1:38" ht="15.75" customHeight="1">
      <c r="A297" s="104">
        <v>3000</v>
      </c>
      <c r="B297" s="21">
        <v>36000</v>
      </c>
      <c r="C297" s="21">
        <v>44000</v>
      </c>
      <c r="D297" s="21">
        <v>36000</v>
      </c>
      <c r="E297" s="21">
        <v>40000</v>
      </c>
      <c r="F297" s="21">
        <v>44000</v>
      </c>
      <c r="G297" s="21">
        <v>36000</v>
      </c>
      <c r="H297" s="21">
        <v>40600</v>
      </c>
      <c r="I297" s="21">
        <v>44000</v>
      </c>
      <c r="J297" s="21">
        <v>64500</v>
      </c>
      <c r="K297" s="21">
        <v>72000</v>
      </c>
      <c r="L297" s="21">
        <v>76000</v>
      </c>
      <c r="M297" s="21">
        <v>84000</v>
      </c>
      <c r="N297" s="21">
        <v>90000</v>
      </c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  <c r="AA297" s="25"/>
      <c r="AB297" s="25"/>
      <c r="AC297" s="25"/>
      <c r="AD297" s="25"/>
      <c r="AE297" s="25"/>
      <c r="AF297" s="25"/>
      <c r="AG297" s="25"/>
      <c r="AH297" s="25"/>
      <c r="AI297" s="25"/>
      <c r="AJ297" s="25"/>
      <c r="AK297" s="25"/>
      <c r="AL297" s="25"/>
    </row>
    <row r="298" spans="1:38" ht="15.75" customHeight="1">
      <c r="A298" s="104">
        <v>4000</v>
      </c>
      <c r="B298" s="21">
        <v>45000</v>
      </c>
      <c r="C298" s="21">
        <v>55000</v>
      </c>
      <c r="D298" s="21">
        <v>45000</v>
      </c>
      <c r="E298" s="21">
        <v>50000</v>
      </c>
      <c r="F298" s="21">
        <v>55000</v>
      </c>
      <c r="G298" s="21">
        <v>45000</v>
      </c>
      <c r="H298" s="21">
        <v>51000</v>
      </c>
      <c r="I298" s="21">
        <v>55000</v>
      </c>
      <c r="J298" s="21">
        <v>86000</v>
      </c>
      <c r="K298" s="21">
        <v>95000</v>
      </c>
      <c r="L298" s="21">
        <v>100000</v>
      </c>
      <c r="M298" s="21">
        <v>110000</v>
      </c>
      <c r="N298" s="21">
        <v>115000</v>
      </c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  <c r="AA298" s="25"/>
      <c r="AB298" s="25"/>
      <c r="AC298" s="25"/>
      <c r="AD298" s="25"/>
      <c r="AE298" s="25"/>
      <c r="AF298" s="25"/>
      <c r="AG298" s="25"/>
      <c r="AH298" s="25"/>
      <c r="AI298" s="25"/>
      <c r="AJ298" s="25"/>
      <c r="AK298" s="25"/>
      <c r="AL298" s="25"/>
    </row>
    <row r="299" spans="1:38" ht="15.75" customHeight="1">
      <c r="A299" s="104">
        <v>5000</v>
      </c>
      <c r="B299" s="21">
        <v>54000</v>
      </c>
      <c r="C299" s="21">
        <v>66000</v>
      </c>
      <c r="D299" s="21">
        <v>54000</v>
      </c>
      <c r="E299" s="21">
        <v>60000</v>
      </c>
      <c r="F299" s="21">
        <v>66000</v>
      </c>
      <c r="G299" s="21">
        <v>54000</v>
      </c>
      <c r="H299" s="21">
        <v>61000</v>
      </c>
      <c r="I299" s="21">
        <v>66000</v>
      </c>
      <c r="J299" s="21">
        <v>107500</v>
      </c>
      <c r="K299" s="21">
        <v>120000</v>
      </c>
      <c r="L299" s="21">
        <v>125000</v>
      </c>
      <c r="M299" s="21">
        <v>135000</v>
      </c>
      <c r="N299" s="21">
        <v>140000</v>
      </c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  <c r="AA299" s="25"/>
      <c r="AB299" s="25"/>
      <c r="AC299" s="25"/>
      <c r="AD299" s="25"/>
      <c r="AE299" s="25"/>
      <c r="AF299" s="25"/>
      <c r="AG299" s="25"/>
      <c r="AH299" s="25"/>
      <c r="AI299" s="25"/>
      <c r="AJ299" s="25"/>
      <c r="AK299" s="25"/>
      <c r="AL299" s="25"/>
    </row>
    <row r="300" spans="1:38" ht="15.75" customHeight="1">
      <c r="A300" s="25"/>
      <c r="B300" s="25"/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  <c r="AA300" s="25"/>
      <c r="AB300" s="25"/>
      <c r="AC300" s="25"/>
      <c r="AD300" s="25"/>
      <c r="AE300" s="25"/>
      <c r="AF300" s="25"/>
      <c r="AG300" s="25"/>
      <c r="AH300" s="25"/>
      <c r="AI300" s="25"/>
      <c r="AJ300" s="25"/>
      <c r="AK300" s="25"/>
      <c r="AL300" s="25"/>
    </row>
    <row r="301" spans="1:38" ht="15.75" customHeight="1">
      <c r="A301" s="116" t="s">
        <v>396</v>
      </c>
      <c r="B301" s="21">
        <v>3525</v>
      </c>
      <c r="C301" s="21">
        <v>4030</v>
      </c>
      <c r="D301" s="21">
        <v>4220</v>
      </c>
      <c r="E301" s="21">
        <v>5020</v>
      </c>
      <c r="F301" s="21">
        <v>5030</v>
      </c>
      <c r="G301" s="21">
        <v>5515</v>
      </c>
      <c r="H301" s="21">
        <v>5520</v>
      </c>
      <c r="I301" s="21">
        <v>5533</v>
      </c>
      <c r="J301" s="21">
        <v>9040</v>
      </c>
      <c r="K301" s="21">
        <v>9050</v>
      </c>
      <c r="L301" s="21">
        <v>9060</v>
      </c>
      <c r="M301" s="21">
        <v>9070</v>
      </c>
      <c r="N301" s="21">
        <v>9080</v>
      </c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  <c r="AA301" s="25"/>
      <c r="AB301" s="25"/>
      <c r="AC301" s="25"/>
      <c r="AD301" s="25"/>
      <c r="AE301" s="25"/>
      <c r="AF301" s="25"/>
      <c r="AG301" s="25"/>
      <c r="AH301" s="25"/>
      <c r="AI301" s="25"/>
      <c r="AJ301" s="25"/>
      <c r="AK301" s="25"/>
      <c r="AL301" s="25"/>
    </row>
    <row r="302" spans="1:38" ht="15.75" customHeight="1">
      <c r="A302" s="198" t="s">
        <v>388</v>
      </c>
      <c r="B302" s="182"/>
      <c r="C302" s="182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  <c r="AA302" s="25"/>
      <c r="AB302" s="25"/>
      <c r="AC302" s="25"/>
      <c r="AD302" s="25"/>
      <c r="AE302" s="25"/>
      <c r="AF302" s="25"/>
      <c r="AG302" s="25"/>
      <c r="AH302" s="25"/>
      <c r="AI302" s="25"/>
      <c r="AJ302" s="25"/>
      <c r="AK302" s="25"/>
      <c r="AL302" s="25"/>
    </row>
    <row r="303" spans="1:38" ht="15.75" customHeight="1">
      <c r="A303" s="102">
        <v>1000</v>
      </c>
      <c r="B303" s="21">
        <v>22500</v>
      </c>
      <c r="C303" s="21">
        <v>29500</v>
      </c>
      <c r="D303" s="21">
        <v>22500</v>
      </c>
      <c r="E303" s="21">
        <v>26100</v>
      </c>
      <c r="F303" s="21">
        <v>29500</v>
      </c>
      <c r="G303" s="21">
        <v>22500</v>
      </c>
      <c r="H303" s="21">
        <v>26700</v>
      </c>
      <c r="I303" s="21">
        <v>29500</v>
      </c>
      <c r="J303" s="21">
        <v>28500</v>
      </c>
      <c r="K303" s="21">
        <v>33300</v>
      </c>
      <c r="L303" s="21">
        <v>37900</v>
      </c>
      <c r="M303" s="21">
        <v>42500</v>
      </c>
      <c r="N303" s="21">
        <v>47300</v>
      </c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  <c r="AA303" s="25"/>
      <c r="AB303" s="25"/>
      <c r="AC303" s="25"/>
      <c r="AD303" s="25"/>
      <c r="AE303" s="25"/>
      <c r="AF303" s="25"/>
      <c r="AG303" s="25"/>
      <c r="AH303" s="25"/>
      <c r="AI303" s="25"/>
      <c r="AJ303" s="25"/>
      <c r="AK303" s="25"/>
      <c r="AL303" s="25"/>
    </row>
    <row r="304" spans="1:38" ht="15.75" customHeight="1">
      <c r="A304" s="104">
        <v>2000</v>
      </c>
      <c r="B304" s="21">
        <v>34300</v>
      </c>
      <c r="C304" s="21">
        <v>46300</v>
      </c>
      <c r="D304" s="21">
        <v>34300</v>
      </c>
      <c r="E304" s="21">
        <v>39200</v>
      </c>
      <c r="F304" s="21">
        <v>46300</v>
      </c>
      <c r="G304" s="21">
        <v>34300</v>
      </c>
      <c r="H304" s="21">
        <v>39800</v>
      </c>
      <c r="I304" s="21">
        <v>46300</v>
      </c>
      <c r="J304" s="21">
        <v>56900</v>
      </c>
      <c r="K304" s="21">
        <v>62700</v>
      </c>
      <c r="L304" s="21">
        <v>68600</v>
      </c>
      <c r="M304" s="21">
        <v>74700</v>
      </c>
      <c r="N304" s="21">
        <v>80700</v>
      </c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  <c r="AA304" s="25"/>
      <c r="AB304" s="25"/>
      <c r="AC304" s="25"/>
      <c r="AD304" s="25"/>
      <c r="AE304" s="25"/>
      <c r="AF304" s="25"/>
      <c r="AG304" s="25"/>
      <c r="AH304" s="25"/>
      <c r="AI304" s="25"/>
      <c r="AJ304" s="25"/>
      <c r="AK304" s="25"/>
      <c r="AL304" s="25"/>
    </row>
    <row r="305" spans="1:38" ht="15.75" customHeight="1">
      <c r="A305" s="104">
        <v>3000</v>
      </c>
      <c r="B305" s="21">
        <v>46300</v>
      </c>
      <c r="C305" s="21">
        <v>62700</v>
      </c>
      <c r="D305" s="21">
        <v>46300</v>
      </c>
      <c r="E305" s="21">
        <v>52200</v>
      </c>
      <c r="F305" s="21">
        <v>62700</v>
      </c>
      <c r="G305" s="21">
        <v>46300</v>
      </c>
      <c r="H305" s="21">
        <v>52800</v>
      </c>
      <c r="I305" s="21">
        <v>62700</v>
      </c>
      <c r="J305" s="21">
        <v>85500</v>
      </c>
      <c r="K305" s="21">
        <v>92400</v>
      </c>
      <c r="L305" s="21">
        <v>99500</v>
      </c>
      <c r="M305" s="21">
        <v>106800</v>
      </c>
      <c r="N305" s="21">
        <v>113900</v>
      </c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  <c r="AA305" s="25"/>
      <c r="AB305" s="25"/>
      <c r="AC305" s="25"/>
      <c r="AD305" s="25"/>
      <c r="AE305" s="25"/>
      <c r="AF305" s="25"/>
      <c r="AG305" s="25"/>
      <c r="AH305" s="25"/>
      <c r="AI305" s="25"/>
      <c r="AJ305" s="25"/>
      <c r="AK305" s="25"/>
      <c r="AL305" s="25"/>
    </row>
    <row r="306" spans="1:38" ht="15.75" customHeight="1">
      <c r="A306" s="104">
        <v>4000</v>
      </c>
      <c r="B306" s="21">
        <v>58000</v>
      </c>
      <c r="C306" s="21">
        <v>79400</v>
      </c>
      <c r="D306" s="21">
        <v>58000</v>
      </c>
      <c r="E306" s="21">
        <v>65300</v>
      </c>
      <c r="F306" s="21">
        <v>79400</v>
      </c>
      <c r="G306" s="21">
        <v>58000</v>
      </c>
      <c r="H306" s="21">
        <v>65900</v>
      </c>
      <c r="I306" s="21">
        <v>79400</v>
      </c>
      <c r="J306" s="21">
        <v>113900</v>
      </c>
      <c r="K306" s="21">
        <v>122100</v>
      </c>
      <c r="L306" s="21">
        <v>130500</v>
      </c>
      <c r="M306" s="21">
        <v>138700</v>
      </c>
      <c r="N306" s="21">
        <v>146900</v>
      </c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  <c r="AA306" s="25"/>
      <c r="AB306" s="25"/>
      <c r="AC306" s="25"/>
      <c r="AD306" s="25"/>
      <c r="AE306" s="25"/>
      <c r="AF306" s="25"/>
      <c r="AG306" s="25"/>
      <c r="AH306" s="25"/>
      <c r="AI306" s="25"/>
      <c r="AJ306" s="25"/>
      <c r="AK306" s="25"/>
      <c r="AL306" s="25"/>
    </row>
    <row r="307" spans="1:38" ht="15.75" customHeight="1">
      <c r="A307" s="104">
        <v>5000</v>
      </c>
      <c r="B307" s="21">
        <v>69900</v>
      </c>
      <c r="C307" s="21">
        <v>96000</v>
      </c>
      <c r="D307" s="21">
        <v>69900</v>
      </c>
      <c r="E307" s="21">
        <v>78300</v>
      </c>
      <c r="F307" s="21">
        <v>96000</v>
      </c>
      <c r="G307" s="21">
        <v>69900</v>
      </c>
      <c r="H307" s="21">
        <v>78900</v>
      </c>
      <c r="I307" s="21">
        <v>96000</v>
      </c>
      <c r="J307" s="21">
        <v>142300</v>
      </c>
      <c r="K307" s="21">
        <v>151700</v>
      </c>
      <c r="L307" s="21">
        <v>161300</v>
      </c>
      <c r="M307" s="21">
        <v>170700</v>
      </c>
      <c r="N307" s="21">
        <v>180100</v>
      </c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  <c r="AA307" s="25"/>
      <c r="AB307" s="25"/>
      <c r="AC307" s="25"/>
      <c r="AD307" s="25"/>
      <c r="AE307" s="25"/>
      <c r="AF307" s="25"/>
      <c r="AG307" s="25"/>
      <c r="AH307" s="25"/>
      <c r="AI307" s="25"/>
      <c r="AJ307" s="25"/>
      <c r="AK307" s="25"/>
      <c r="AL307" s="25"/>
    </row>
    <row r="308" spans="1:38" ht="15.75" customHeight="1">
      <c r="A308" s="25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  <c r="AA308" s="25"/>
      <c r="AB308" s="25"/>
      <c r="AC308" s="25"/>
      <c r="AD308" s="25"/>
      <c r="AE308" s="25"/>
      <c r="AF308" s="25"/>
      <c r="AG308" s="25"/>
      <c r="AH308" s="25"/>
      <c r="AI308" s="25"/>
      <c r="AJ308" s="25"/>
      <c r="AK308" s="25"/>
      <c r="AL308" s="25"/>
    </row>
    <row r="309" spans="1:38" ht="15.75" customHeight="1">
      <c r="A309" s="116" t="s">
        <v>397</v>
      </c>
      <c r="B309" s="21">
        <v>3525</v>
      </c>
      <c r="C309" s="21">
        <v>4030</v>
      </c>
      <c r="D309" s="21">
        <v>4220</v>
      </c>
      <c r="E309" s="21">
        <v>5020</v>
      </c>
      <c r="F309" s="21">
        <v>5030</v>
      </c>
      <c r="G309" s="21">
        <v>5515</v>
      </c>
      <c r="H309" s="21">
        <v>5520</v>
      </c>
      <c r="I309" s="21">
        <v>5533</v>
      </c>
      <c r="J309" s="21">
        <v>9040</v>
      </c>
      <c r="K309" s="21">
        <v>9050</v>
      </c>
      <c r="L309" s="21">
        <v>9060</v>
      </c>
      <c r="M309" s="21">
        <v>9070</v>
      </c>
      <c r="N309" s="21">
        <v>9080</v>
      </c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  <c r="AA309" s="25"/>
      <c r="AB309" s="25"/>
      <c r="AC309" s="25"/>
      <c r="AD309" s="25"/>
      <c r="AE309" s="25"/>
      <c r="AF309" s="25"/>
      <c r="AG309" s="25"/>
      <c r="AH309" s="25"/>
      <c r="AI309" s="25"/>
      <c r="AJ309" s="25"/>
      <c r="AK309" s="25"/>
      <c r="AL309" s="25"/>
    </row>
    <row r="310" spans="1:38" ht="15.75" customHeight="1">
      <c r="A310" s="198" t="s">
        <v>388</v>
      </c>
      <c r="B310" s="182"/>
      <c r="C310" s="182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  <c r="AA310" s="25"/>
      <c r="AB310" s="25"/>
      <c r="AC310" s="25"/>
      <c r="AD310" s="25"/>
      <c r="AE310" s="25"/>
      <c r="AF310" s="25"/>
      <c r="AG310" s="25"/>
      <c r="AH310" s="25"/>
      <c r="AI310" s="25"/>
      <c r="AJ310" s="25"/>
      <c r="AK310" s="25"/>
      <c r="AL310" s="25"/>
    </row>
    <row r="311" spans="1:38" ht="15.75" customHeight="1">
      <c r="A311" s="102">
        <v>1000</v>
      </c>
      <c r="B311" s="21">
        <v>22500</v>
      </c>
      <c r="C311" s="21">
        <v>29500</v>
      </c>
      <c r="D311" s="21">
        <v>22500</v>
      </c>
      <c r="E311" s="21">
        <v>26100</v>
      </c>
      <c r="F311" s="21">
        <v>29500</v>
      </c>
      <c r="G311" s="21">
        <v>22500</v>
      </c>
      <c r="H311" s="21">
        <v>26700</v>
      </c>
      <c r="I311" s="21">
        <v>29500</v>
      </c>
      <c r="J311" s="21">
        <v>28500</v>
      </c>
      <c r="K311" s="21">
        <v>33300</v>
      </c>
      <c r="L311" s="21">
        <v>37900</v>
      </c>
      <c r="M311" s="21">
        <v>42500</v>
      </c>
      <c r="N311" s="21">
        <v>47300</v>
      </c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  <c r="AA311" s="25"/>
      <c r="AB311" s="25"/>
      <c r="AC311" s="25"/>
      <c r="AD311" s="25"/>
      <c r="AE311" s="25"/>
      <c r="AF311" s="25"/>
      <c r="AG311" s="25"/>
      <c r="AH311" s="25"/>
      <c r="AI311" s="25"/>
      <c r="AJ311" s="25"/>
      <c r="AK311" s="25"/>
      <c r="AL311" s="25"/>
    </row>
    <row r="312" spans="1:38" ht="15.75" customHeight="1">
      <c r="A312" s="104">
        <v>2000</v>
      </c>
      <c r="B312" s="21">
        <v>34300</v>
      </c>
      <c r="C312" s="21">
        <v>46300</v>
      </c>
      <c r="D312" s="21">
        <v>34300</v>
      </c>
      <c r="E312" s="21">
        <v>39200</v>
      </c>
      <c r="F312" s="21">
        <v>46300</v>
      </c>
      <c r="G312" s="21">
        <v>34300</v>
      </c>
      <c r="H312" s="21">
        <v>39800</v>
      </c>
      <c r="I312" s="21">
        <v>46300</v>
      </c>
      <c r="J312" s="21">
        <v>56900</v>
      </c>
      <c r="K312" s="21">
        <v>62700</v>
      </c>
      <c r="L312" s="21">
        <v>68600</v>
      </c>
      <c r="M312" s="21">
        <v>74700</v>
      </c>
      <c r="N312" s="21">
        <v>80700</v>
      </c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  <c r="AA312" s="25"/>
      <c r="AB312" s="25"/>
      <c r="AC312" s="25"/>
      <c r="AD312" s="25"/>
      <c r="AE312" s="25"/>
      <c r="AF312" s="25"/>
      <c r="AG312" s="25"/>
      <c r="AH312" s="25"/>
      <c r="AI312" s="25"/>
      <c r="AJ312" s="25"/>
      <c r="AK312" s="25"/>
      <c r="AL312" s="25"/>
    </row>
    <row r="313" spans="1:38" ht="15.75" customHeight="1">
      <c r="A313" s="104">
        <v>3000</v>
      </c>
      <c r="B313" s="21">
        <v>46300</v>
      </c>
      <c r="C313" s="21">
        <v>62700</v>
      </c>
      <c r="D313" s="21">
        <v>46300</v>
      </c>
      <c r="E313" s="21">
        <v>52200</v>
      </c>
      <c r="F313" s="21">
        <v>62700</v>
      </c>
      <c r="G313" s="21">
        <v>46300</v>
      </c>
      <c r="H313" s="21">
        <v>52800</v>
      </c>
      <c r="I313" s="21">
        <v>62700</v>
      </c>
      <c r="J313" s="21">
        <v>85500</v>
      </c>
      <c r="K313" s="21">
        <v>92400</v>
      </c>
      <c r="L313" s="21">
        <v>99500</v>
      </c>
      <c r="M313" s="21">
        <v>106800</v>
      </c>
      <c r="N313" s="21">
        <v>113900</v>
      </c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  <c r="AA313" s="25"/>
      <c r="AB313" s="25"/>
      <c r="AC313" s="25"/>
      <c r="AD313" s="25"/>
      <c r="AE313" s="25"/>
      <c r="AF313" s="25"/>
      <c r="AG313" s="25"/>
      <c r="AH313" s="25"/>
      <c r="AI313" s="25"/>
      <c r="AJ313" s="25"/>
      <c r="AK313" s="25"/>
      <c r="AL313" s="25"/>
    </row>
    <row r="314" spans="1:38" ht="15.75" customHeight="1">
      <c r="A314" s="104">
        <v>4000</v>
      </c>
      <c r="B314" s="21">
        <v>58000</v>
      </c>
      <c r="C314" s="21">
        <v>79400</v>
      </c>
      <c r="D314" s="21">
        <v>58000</v>
      </c>
      <c r="E314" s="21">
        <v>65300</v>
      </c>
      <c r="F314" s="21">
        <v>79400</v>
      </c>
      <c r="G314" s="21">
        <v>58000</v>
      </c>
      <c r="H314" s="21">
        <v>65900</v>
      </c>
      <c r="I314" s="21">
        <v>79400</v>
      </c>
      <c r="J314" s="21">
        <v>113900</v>
      </c>
      <c r="K314" s="21">
        <v>122100</v>
      </c>
      <c r="L314" s="21">
        <v>130500</v>
      </c>
      <c r="M314" s="21">
        <v>138700</v>
      </c>
      <c r="N314" s="21">
        <v>146900</v>
      </c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  <c r="AA314" s="25"/>
      <c r="AB314" s="25"/>
      <c r="AC314" s="25"/>
      <c r="AD314" s="25"/>
      <c r="AE314" s="25"/>
      <c r="AF314" s="25"/>
      <c r="AG314" s="25"/>
      <c r="AH314" s="25"/>
      <c r="AI314" s="25"/>
      <c r="AJ314" s="25"/>
      <c r="AK314" s="25"/>
      <c r="AL314" s="25"/>
    </row>
    <row r="315" spans="1:38" ht="15.75" customHeight="1">
      <c r="A315" s="104">
        <v>5000</v>
      </c>
      <c r="B315" s="21">
        <v>69900</v>
      </c>
      <c r="C315" s="21">
        <v>96000</v>
      </c>
      <c r="D315" s="21">
        <v>69900</v>
      </c>
      <c r="E315" s="21">
        <v>78300</v>
      </c>
      <c r="F315" s="21">
        <v>96000</v>
      </c>
      <c r="G315" s="21">
        <v>69900</v>
      </c>
      <c r="H315" s="21">
        <v>78900</v>
      </c>
      <c r="I315" s="21">
        <v>96000</v>
      </c>
      <c r="J315" s="21">
        <v>142300</v>
      </c>
      <c r="K315" s="21">
        <v>151700</v>
      </c>
      <c r="L315" s="21">
        <v>161300</v>
      </c>
      <c r="M315" s="21">
        <v>170700</v>
      </c>
      <c r="N315" s="21">
        <v>180100</v>
      </c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  <c r="AA315" s="25"/>
      <c r="AB315" s="25"/>
      <c r="AC315" s="25"/>
      <c r="AD315" s="25"/>
      <c r="AE315" s="25"/>
      <c r="AF315" s="25"/>
      <c r="AG315" s="25"/>
      <c r="AH315" s="25"/>
      <c r="AI315" s="25"/>
      <c r="AJ315" s="25"/>
      <c r="AK315" s="25"/>
      <c r="AL315" s="25"/>
    </row>
    <row r="316" spans="1:38" ht="15.75" customHeight="1">
      <c r="A316" s="25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  <c r="AD316" s="25"/>
      <c r="AE316" s="25"/>
      <c r="AF316" s="25"/>
      <c r="AG316" s="25"/>
      <c r="AH316" s="25"/>
      <c r="AI316" s="25"/>
      <c r="AJ316" s="25"/>
      <c r="AK316" s="25"/>
      <c r="AL316" s="25"/>
    </row>
    <row r="317" spans="1:38" ht="15.75" customHeight="1">
      <c r="A317" s="116" t="s">
        <v>398</v>
      </c>
      <c r="B317" s="21">
        <v>3525</v>
      </c>
      <c r="C317" s="21">
        <v>4030</v>
      </c>
      <c r="D317" s="21">
        <v>4220</v>
      </c>
      <c r="E317" s="21">
        <v>5020</v>
      </c>
      <c r="F317" s="21">
        <v>5030</v>
      </c>
      <c r="G317" s="21">
        <v>5515</v>
      </c>
      <c r="H317" s="21">
        <v>5520</v>
      </c>
      <c r="I317" s="21">
        <v>5533</v>
      </c>
      <c r="J317" s="21">
        <v>9040</v>
      </c>
      <c r="K317" s="21">
        <v>9050</v>
      </c>
      <c r="L317" s="21">
        <v>9060</v>
      </c>
      <c r="M317" s="21">
        <v>9070</v>
      </c>
      <c r="N317" s="21">
        <v>9080</v>
      </c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  <c r="AA317" s="25"/>
      <c r="AB317" s="25"/>
      <c r="AC317" s="25"/>
      <c r="AD317" s="25"/>
      <c r="AE317" s="25"/>
      <c r="AF317" s="25"/>
      <c r="AG317" s="25"/>
      <c r="AH317" s="25"/>
      <c r="AI317" s="25"/>
      <c r="AJ317" s="25"/>
      <c r="AK317" s="25"/>
      <c r="AL317" s="25"/>
    </row>
    <row r="318" spans="1:38" ht="15.75" customHeight="1">
      <c r="A318" s="198" t="s">
        <v>388</v>
      </c>
      <c r="B318" s="182"/>
      <c r="C318" s="182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  <c r="AA318" s="25"/>
      <c r="AB318" s="25"/>
      <c r="AC318" s="25"/>
      <c r="AD318" s="25"/>
      <c r="AE318" s="25"/>
      <c r="AF318" s="25"/>
      <c r="AG318" s="25"/>
      <c r="AH318" s="25"/>
      <c r="AI318" s="25"/>
      <c r="AJ318" s="25"/>
      <c r="AK318" s="25"/>
      <c r="AL318" s="25"/>
    </row>
    <row r="319" spans="1:38" ht="15.75" customHeight="1">
      <c r="A319" s="102">
        <v>1000</v>
      </c>
      <c r="B319" s="21">
        <v>22500</v>
      </c>
      <c r="C319" s="21">
        <v>29500</v>
      </c>
      <c r="D319" s="21">
        <v>22500</v>
      </c>
      <c r="E319" s="21">
        <v>26100</v>
      </c>
      <c r="F319" s="21">
        <v>29500</v>
      </c>
      <c r="G319" s="21">
        <v>22500</v>
      </c>
      <c r="H319" s="21">
        <v>26700</v>
      </c>
      <c r="I319" s="21">
        <v>29500</v>
      </c>
      <c r="J319" s="21">
        <v>28500</v>
      </c>
      <c r="K319" s="21">
        <v>33300</v>
      </c>
      <c r="L319" s="21">
        <v>37900</v>
      </c>
      <c r="M319" s="21">
        <v>42500</v>
      </c>
      <c r="N319" s="21">
        <v>47300</v>
      </c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  <c r="AA319" s="25"/>
      <c r="AB319" s="25"/>
      <c r="AC319" s="25"/>
      <c r="AD319" s="25"/>
      <c r="AE319" s="25"/>
      <c r="AF319" s="25"/>
      <c r="AG319" s="25"/>
      <c r="AH319" s="25"/>
      <c r="AI319" s="25"/>
      <c r="AJ319" s="25"/>
      <c r="AK319" s="25"/>
      <c r="AL319" s="25"/>
    </row>
    <row r="320" spans="1:38" ht="15.75" customHeight="1">
      <c r="A320" s="104">
        <v>2000</v>
      </c>
      <c r="B320" s="21">
        <v>34300</v>
      </c>
      <c r="C320" s="21">
        <v>46300</v>
      </c>
      <c r="D320" s="21">
        <v>34300</v>
      </c>
      <c r="E320" s="21">
        <v>39200</v>
      </c>
      <c r="F320" s="21">
        <v>46300</v>
      </c>
      <c r="G320" s="21">
        <v>34300</v>
      </c>
      <c r="H320" s="21">
        <v>39800</v>
      </c>
      <c r="I320" s="21">
        <v>46300</v>
      </c>
      <c r="J320" s="21">
        <v>56900</v>
      </c>
      <c r="K320" s="21">
        <v>62700</v>
      </c>
      <c r="L320" s="21">
        <v>68600</v>
      </c>
      <c r="M320" s="21">
        <v>74700</v>
      </c>
      <c r="N320" s="21">
        <v>80700</v>
      </c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  <c r="AA320" s="25"/>
      <c r="AB320" s="25"/>
      <c r="AC320" s="25"/>
      <c r="AD320" s="25"/>
      <c r="AE320" s="25"/>
      <c r="AF320" s="25"/>
      <c r="AG320" s="25"/>
      <c r="AH320" s="25"/>
      <c r="AI320" s="25"/>
      <c r="AJ320" s="25"/>
      <c r="AK320" s="25"/>
      <c r="AL320" s="25"/>
    </row>
    <row r="321" spans="1:38" ht="15.75" customHeight="1">
      <c r="A321" s="104">
        <v>3000</v>
      </c>
      <c r="B321" s="21">
        <v>46300</v>
      </c>
      <c r="C321" s="21">
        <v>62700</v>
      </c>
      <c r="D321" s="21">
        <v>46300</v>
      </c>
      <c r="E321" s="21">
        <v>52200</v>
      </c>
      <c r="F321" s="21">
        <v>62700</v>
      </c>
      <c r="G321" s="21">
        <v>46300</v>
      </c>
      <c r="H321" s="21">
        <v>52800</v>
      </c>
      <c r="I321" s="21">
        <v>62700</v>
      </c>
      <c r="J321" s="21">
        <v>85500</v>
      </c>
      <c r="K321" s="21">
        <v>92400</v>
      </c>
      <c r="L321" s="21">
        <v>99500</v>
      </c>
      <c r="M321" s="21">
        <v>106800</v>
      </c>
      <c r="N321" s="21">
        <v>113900</v>
      </c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  <c r="AA321" s="25"/>
      <c r="AB321" s="25"/>
      <c r="AC321" s="25"/>
      <c r="AD321" s="25"/>
      <c r="AE321" s="25"/>
      <c r="AF321" s="25"/>
      <c r="AG321" s="25"/>
      <c r="AH321" s="25"/>
      <c r="AI321" s="25"/>
      <c r="AJ321" s="25"/>
      <c r="AK321" s="25"/>
      <c r="AL321" s="25"/>
    </row>
    <row r="322" spans="1:38" ht="15.75" customHeight="1">
      <c r="A322" s="104">
        <v>4000</v>
      </c>
      <c r="B322" s="21">
        <v>58000</v>
      </c>
      <c r="C322" s="21">
        <v>79400</v>
      </c>
      <c r="D322" s="21">
        <v>58000</v>
      </c>
      <c r="E322" s="21">
        <v>65300</v>
      </c>
      <c r="F322" s="21">
        <v>79400</v>
      </c>
      <c r="G322" s="21">
        <v>58000</v>
      </c>
      <c r="H322" s="21">
        <v>65900</v>
      </c>
      <c r="I322" s="21">
        <v>79400</v>
      </c>
      <c r="J322" s="21">
        <v>113900</v>
      </c>
      <c r="K322" s="21">
        <v>122100</v>
      </c>
      <c r="L322" s="21">
        <v>130500</v>
      </c>
      <c r="M322" s="21">
        <v>138700</v>
      </c>
      <c r="N322" s="21">
        <v>146900</v>
      </c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  <c r="AA322" s="25"/>
      <c r="AB322" s="25"/>
      <c r="AC322" s="25"/>
      <c r="AD322" s="25"/>
      <c r="AE322" s="25"/>
      <c r="AF322" s="25"/>
      <c r="AG322" s="25"/>
      <c r="AH322" s="25"/>
      <c r="AI322" s="25"/>
      <c r="AJ322" s="25"/>
      <c r="AK322" s="25"/>
      <c r="AL322" s="25"/>
    </row>
    <row r="323" spans="1:38" ht="15.75" customHeight="1">
      <c r="A323" s="104">
        <v>5000</v>
      </c>
      <c r="B323" s="21">
        <v>69900</v>
      </c>
      <c r="C323" s="21">
        <v>96000</v>
      </c>
      <c r="D323" s="21">
        <v>69900</v>
      </c>
      <c r="E323" s="21">
        <v>78300</v>
      </c>
      <c r="F323" s="21">
        <v>96000</v>
      </c>
      <c r="G323" s="21">
        <v>69900</v>
      </c>
      <c r="H323" s="21">
        <v>78900</v>
      </c>
      <c r="I323" s="21">
        <v>96000</v>
      </c>
      <c r="J323" s="21">
        <v>142300</v>
      </c>
      <c r="K323" s="21">
        <v>151700</v>
      </c>
      <c r="L323" s="21">
        <v>161300</v>
      </c>
      <c r="M323" s="21">
        <v>170700</v>
      </c>
      <c r="N323" s="21">
        <v>180100</v>
      </c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  <c r="AA323" s="25"/>
      <c r="AB323" s="25"/>
      <c r="AC323" s="25"/>
      <c r="AD323" s="25"/>
      <c r="AE323" s="25"/>
      <c r="AF323" s="25"/>
      <c r="AG323" s="25"/>
      <c r="AH323" s="25"/>
      <c r="AI323" s="25"/>
      <c r="AJ323" s="25"/>
      <c r="AK323" s="25"/>
      <c r="AL323" s="25"/>
    </row>
    <row r="324" spans="1:38" ht="15.75" customHeight="1"/>
    <row r="325" spans="1:38" ht="15.75" customHeight="1"/>
    <row r="326" spans="1:38" ht="15.75" customHeight="1">
      <c r="A326" s="13" t="s">
        <v>399</v>
      </c>
      <c r="B326" s="13" t="s">
        <v>54</v>
      </c>
    </row>
    <row r="327" spans="1:38" ht="15.75" customHeight="1">
      <c r="A327" s="8" t="s">
        <v>400</v>
      </c>
    </row>
    <row r="328" spans="1:38" ht="15.75" customHeight="1">
      <c r="A328" s="21">
        <v>3</v>
      </c>
      <c r="B328" s="21">
        <v>6000</v>
      </c>
    </row>
    <row r="329" spans="1:38" ht="15.75" customHeight="1">
      <c r="A329" s="21">
        <v>6</v>
      </c>
      <c r="B329" s="21">
        <v>10000</v>
      </c>
    </row>
    <row r="330" spans="1:38" ht="15.75" customHeight="1">
      <c r="A330" s="21">
        <v>9</v>
      </c>
      <c r="B330" s="21">
        <v>14000</v>
      </c>
    </row>
    <row r="331" spans="1:38" ht="15.75" customHeight="1">
      <c r="A331" s="21">
        <v>12</v>
      </c>
      <c r="B331" s="21">
        <v>18000</v>
      </c>
    </row>
    <row r="332" spans="1:38" ht="15.75" customHeight="1">
      <c r="A332" s="21">
        <v>15</v>
      </c>
      <c r="B332" s="21">
        <v>22000</v>
      </c>
    </row>
    <row r="333" spans="1:38" ht="15.75" customHeight="1">
      <c r="A333" s="21">
        <v>18</v>
      </c>
      <c r="B333" s="21">
        <v>26000</v>
      </c>
    </row>
    <row r="334" spans="1:38" ht="15.75" customHeight="1">
      <c r="A334" s="21">
        <v>21</v>
      </c>
      <c r="B334" s="21">
        <v>30000</v>
      </c>
    </row>
    <row r="335" spans="1:38" ht="15.75" customHeight="1">
      <c r="A335" s="21">
        <v>24</v>
      </c>
      <c r="B335" s="21">
        <v>34000</v>
      </c>
    </row>
    <row r="336" spans="1:38" ht="15.75" customHeight="1">
      <c r="A336" s="21">
        <v>27</v>
      </c>
      <c r="B336" s="21">
        <v>38000</v>
      </c>
    </row>
    <row r="337" spans="1:2" ht="15.75" customHeight="1">
      <c r="A337" s="21">
        <v>30</v>
      </c>
      <c r="B337" s="21">
        <v>42000</v>
      </c>
    </row>
    <row r="338" spans="1:2" ht="15.75" customHeight="1">
      <c r="A338" s="21">
        <v>33</v>
      </c>
      <c r="B338" s="21">
        <v>46000</v>
      </c>
    </row>
    <row r="339" spans="1:2" ht="15.75" customHeight="1">
      <c r="A339" s="21">
        <v>36</v>
      </c>
      <c r="B339" s="21">
        <v>50000</v>
      </c>
    </row>
    <row r="340" spans="1:2" ht="15.75" customHeight="1">
      <c r="A340" s="21">
        <v>39</v>
      </c>
      <c r="B340" s="21">
        <v>54000</v>
      </c>
    </row>
    <row r="341" spans="1:2" ht="15.75" customHeight="1">
      <c r="A341" s="13">
        <v>100000</v>
      </c>
    </row>
    <row r="342" spans="1:2" ht="15.75" customHeight="1"/>
    <row r="343" spans="1:2" ht="15.75" customHeight="1">
      <c r="A343" s="13" t="s">
        <v>401</v>
      </c>
      <c r="B343" s="13" t="s">
        <v>52</v>
      </c>
    </row>
    <row r="344" spans="1:2" ht="15.75" customHeight="1">
      <c r="A344" s="96" t="s">
        <v>402</v>
      </c>
    </row>
    <row r="345" spans="1:2" ht="15.75" customHeight="1">
      <c r="A345" s="117">
        <v>1</v>
      </c>
      <c r="B345" s="118">
        <v>4000</v>
      </c>
    </row>
    <row r="346" spans="1:2" ht="15.75" customHeight="1">
      <c r="A346" s="117">
        <v>2</v>
      </c>
      <c r="B346" s="119">
        <v>8000</v>
      </c>
    </row>
    <row r="347" spans="1:2" ht="15.75" customHeight="1">
      <c r="A347" s="117">
        <v>3</v>
      </c>
      <c r="B347" s="118">
        <v>12000</v>
      </c>
    </row>
    <row r="348" spans="1:2" ht="15.75" customHeight="1">
      <c r="A348" s="117">
        <v>4</v>
      </c>
      <c r="B348" s="119">
        <v>16000</v>
      </c>
    </row>
    <row r="349" spans="1:2" ht="15.75" customHeight="1">
      <c r="A349" s="117">
        <v>5</v>
      </c>
      <c r="B349" s="118">
        <v>20000</v>
      </c>
    </row>
    <row r="350" spans="1:2" ht="15.75" customHeight="1">
      <c r="A350" s="117">
        <v>6</v>
      </c>
      <c r="B350" s="119">
        <v>24000</v>
      </c>
    </row>
    <row r="351" spans="1:2" ht="15.75" customHeight="1">
      <c r="A351" s="117">
        <v>7</v>
      </c>
      <c r="B351" s="118">
        <v>28000</v>
      </c>
    </row>
    <row r="352" spans="1:2" ht="15.75" customHeight="1">
      <c r="A352" s="117">
        <v>8</v>
      </c>
      <c r="B352" s="119">
        <v>32000</v>
      </c>
    </row>
    <row r="353" spans="1:2" ht="15.75" customHeight="1">
      <c r="A353" s="117">
        <v>9</v>
      </c>
      <c r="B353" s="118">
        <v>36000</v>
      </c>
    </row>
    <row r="354" spans="1:2" ht="15.75" customHeight="1">
      <c r="A354" s="117">
        <v>10</v>
      </c>
      <c r="B354" s="119">
        <v>40000</v>
      </c>
    </row>
    <row r="355" spans="1:2" ht="15.75" customHeight="1">
      <c r="A355" s="117">
        <v>20</v>
      </c>
      <c r="B355" s="120">
        <v>80000</v>
      </c>
    </row>
    <row r="356" spans="1:2" ht="15.75" customHeight="1">
      <c r="A356" s="117">
        <v>30</v>
      </c>
      <c r="B356" s="119">
        <v>120000</v>
      </c>
    </row>
    <row r="357" spans="1:2" ht="15.75" customHeight="1">
      <c r="A357" s="117">
        <v>40</v>
      </c>
      <c r="B357" s="120">
        <v>160000</v>
      </c>
    </row>
    <row r="358" spans="1:2" ht="15.75" customHeight="1">
      <c r="A358" s="117">
        <v>50</v>
      </c>
      <c r="B358" s="119">
        <v>200000</v>
      </c>
    </row>
    <row r="359" spans="1:2" ht="15.75" customHeight="1">
      <c r="A359" s="117">
        <v>60</v>
      </c>
      <c r="B359" s="120">
        <v>240000</v>
      </c>
    </row>
    <row r="360" spans="1:2" ht="15.75" customHeight="1">
      <c r="A360" s="117">
        <v>70</v>
      </c>
      <c r="B360" s="119">
        <v>280000</v>
      </c>
    </row>
    <row r="361" spans="1:2" ht="15.75" customHeight="1">
      <c r="A361" s="117">
        <v>80</v>
      </c>
      <c r="B361" s="120">
        <v>320000</v>
      </c>
    </row>
    <row r="362" spans="1:2" ht="15.75" customHeight="1">
      <c r="A362" s="117">
        <v>90</v>
      </c>
      <c r="B362" s="119">
        <v>360000</v>
      </c>
    </row>
    <row r="363" spans="1:2" ht="15.75" customHeight="1">
      <c r="A363" s="117">
        <v>100</v>
      </c>
      <c r="B363" s="120">
        <v>400000</v>
      </c>
    </row>
    <row r="364" spans="1:2" ht="15.75" customHeight="1">
      <c r="A364" s="117">
        <v>150</v>
      </c>
      <c r="B364" s="120">
        <v>600000</v>
      </c>
    </row>
    <row r="365" spans="1:2" ht="15.75" customHeight="1">
      <c r="A365" s="121">
        <v>200</v>
      </c>
      <c r="B365" s="120">
        <v>800000</v>
      </c>
    </row>
    <row r="366" spans="1:2" ht="15.75" customHeight="1">
      <c r="A366" s="121">
        <v>1000000</v>
      </c>
      <c r="B366" s="120"/>
    </row>
    <row r="367" spans="1:2" ht="15.75" customHeight="1"/>
    <row r="368" spans="1:2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302:C302"/>
    <mergeCell ref="A310:C310"/>
    <mergeCell ref="A318:C318"/>
    <mergeCell ref="A246:C246"/>
    <mergeCell ref="A254:C254"/>
    <mergeCell ref="A262:C262"/>
    <mergeCell ref="A270:C270"/>
    <mergeCell ref="A278:C278"/>
    <mergeCell ref="A286:C286"/>
    <mergeCell ref="A294:C294"/>
  </mergeCells>
  <phoneticPr fontId="37" type="noConversion"/>
  <printOptions horizontalCentered="1" gridLines="1"/>
  <pageMargins left="0.7" right="0.7" top="0.75" bottom="0.75" header="0" footer="0"/>
  <pageSetup paperSize="9" fitToHeight="0" pageOrder="overThenDown" orientation="landscape" cellComments="atEnd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AC1000"/>
  <sheetViews>
    <sheetView workbookViewId="0"/>
  </sheetViews>
  <sheetFormatPr defaultColWidth="12.5703125" defaultRowHeight="15" customHeight="1"/>
  <cols>
    <col min="1" max="1" width="16.7109375" customWidth="1"/>
    <col min="2" max="19" width="9.85546875" customWidth="1"/>
  </cols>
  <sheetData>
    <row r="1" spans="1:29" ht="20.25" customHeight="1">
      <c r="A1" s="122" t="s">
        <v>403</v>
      </c>
      <c r="B1" s="123"/>
      <c r="C1" s="123"/>
      <c r="D1" s="123"/>
      <c r="E1" s="123"/>
      <c r="F1" s="123"/>
      <c r="G1" s="123"/>
      <c r="H1" s="123"/>
      <c r="I1" s="123"/>
      <c r="J1" s="12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9" ht="15.75" customHeight="1">
      <c r="A2" s="68" t="s">
        <v>404</v>
      </c>
      <c r="B2" s="124" t="s">
        <v>405</v>
      </c>
      <c r="C2" s="124">
        <v>30</v>
      </c>
      <c r="D2" s="124">
        <v>40</v>
      </c>
      <c r="E2" s="124">
        <v>50</v>
      </c>
      <c r="F2" s="124">
        <v>60</v>
      </c>
      <c r="G2" s="124">
        <v>70</v>
      </c>
      <c r="H2" s="124">
        <v>80</v>
      </c>
      <c r="I2" s="124">
        <v>90</v>
      </c>
      <c r="J2" s="124">
        <v>100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9" ht="15.75" customHeight="1">
      <c r="A3" s="125" t="s">
        <v>405</v>
      </c>
      <c r="B3" s="126">
        <v>2500</v>
      </c>
      <c r="C3" s="126">
        <v>2700</v>
      </c>
      <c r="D3" s="126">
        <v>3000</v>
      </c>
      <c r="E3" s="126">
        <v>3200</v>
      </c>
      <c r="F3" s="126">
        <v>3400</v>
      </c>
      <c r="G3" s="126">
        <v>3600</v>
      </c>
      <c r="H3" s="126">
        <v>3800</v>
      </c>
      <c r="I3" s="126">
        <v>3400</v>
      </c>
      <c r="J3" s="126">
        <v>3400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9" ht="15.75" customHeight="1">
      <c r="A4" s="125">
        <v>30</v>
      </c>
      <c r="B4" s="126">
        <v>2700</v>
      </c>
      <c r="C4" s="126">
        <v>3100</v>
      </c>
      <c r="D4" s="126">
        <v>3400</v>
      </c>
      <c r="E4" s="126">
        <v>3800</v>
      </c>
      <c r="F4" s="126">
        <v>4000</v>
      </c>
      <c r="G4" s="126">
        <v>4300</v>
      </c>
      <c r="H4" s="126">
        <v>4700</v>
      </c>
      <c r="I4" s="126">
        <v>5000</v>
      </c>
      <c r="J4" s="126">
        <v>5300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9" ht="15.75" customHeight="1">
      <c r="A5" s="125">
        <v>40</v>
      </c>
      <c r="B5" s="126">
        <v>3000</v>
      </c>
      <c r="C5" s="126">
        <v>3400</v>
      </c>
      <c r="D5" s="126">
        <v>3800</v>
      </c>
      <c r="E5" s="126">
        <v>4200</v>
      </c>
      <c r="F5" s="126">
        <v>4700</v>
      </c>
      <c r="G5" s="126">
        <v>5100</v>
      </c>
      <c r="H5" s="126">
        <v>5500</v>
      </c>
      <c r="I5" s="126">
        <v>5900</v>
      </c>
      <c r="J5" s="126">
        <v>6400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9" ht="15.75" customHeight="1">
      <c r="A6" s="125">
        <v>50</v>
      </c>
      <c r="B6" s="126">
        <v>3200</v>
      </c>
      <c r="C6" s="126">
        <v>3700</v>
      </c>
      <c r="D6" s="126">
        <v>4200</v>
      </c>
      <c r="E6" s="126">
        <v>4800</v>
      </c>
      <c r="F6" s="126">
        <v>5300</v>
      </c>
      <c r="G6" s="126">
        <v>5800</v>
      </c>
      <c r="H6" s="126">
        <v>6400</v>
      </c>
      <c r="I6" s="126">
        <v>6900</v>
      </c>
      <c r="J6" s="126">
        <v>7400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9" ht="15.75" customHeight="1">
      <c r="A7" s="125">
        <v>60</v>
      </c>
      <c r="B7" s="126">
        <v>3400</v>
      </c>
      <c r="C7" s="126">
        <v>4000</v>
      </c>
      <c r="D7" s="126">
        <v>4700</v>
      </c>
      <c r="E7" s="126">
        <v>5300</v>
      </c>
      <c r="F7" s="126">
        <v>5900</v>
      </c>
      <c r="G7" s="126">
        <v>6600</v>
      </c>
      <c r="H7" s="126">
        <v>7200</v>
      </c>
      <c r="I7" s="126">
        <v>7800</v>
      </c>
      <c r="J7" s="126">
        <v>8500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9" ht="15.75" customHeight="1">
      <c r="A8" s="125">
        <v>70</v>
      </c>
      <c r="B8" s="126">
        <v>3600</v>
      </c>
      <c r="C8" s="126">
        <v>4300</v>
      </c>
      <c r="D8" s="126">
        <v>5100</v>
      </c>
      <c r="E8" s="126">
        <v>5800</v>
      </c>
      <c r="F8" s="126">
        <v>6600</v>
      </c>
      <c r="G8" s="126">
        <v>7300</v>
      </c>
      <c r="H8" s="126">
        <v>8100</v>
      </c>
      <c r="I8" s="126">
        <v>8800</v>
      </c>
      <c r="J8" s="126">
        <v>9500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9" ht="15.75" customHeight="1">
      <c r="A9" s="125">
        <v>80</v>
      </c>
      <c r="B9" s="126">
        <v>3800</v>
      </c>
      <c r="C9" s="126">
        <v>4700</v>
      </c>
      <c r="D9" s="126">
        <v>5500</v>
      </c>
      <c r="E9" s="126">
        <v>6400</v>
      </c>
      <c r="F9" s="126">
        <v>7200</v>
      </c>
      <c r="G9" s="126">
        <v>8100</v>
      </c>
      <c r="H9" s="126">
        <v>8900</v>
      </c>
      <c r="I9" s="126">
        <v>9800</v>
      </c>
      <c r="J9" s="126">
        <v>10600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9" ht="15.75" customHeight="1">
      <c r="A10" s="125">
        <v>90</v>
      </c>
      <c r="B10" s="126">
        <v>4000</v>
      </c>
      <c r="C10" s="126">
        <v>5000</v>
      </c>
      <c r="D10" s="126">
        <v>5900</v>
      </c>
      <c r="E10" s="126">
        <v>6900</v>
      </c>
      <c r="F10" s="126">
        <v>7800</v>
      </c>
      <c r="G10" s="126">
        <v>8800</v>
      </c>
      <c r="H10" s="126">
        <v>9800</v>
      </c>
      <c r="I10" s="126">
        <v>10700</v>
      </c>
      <c r="J10" s="126">
        <v>11700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9" ht="15.75" customHeight="1">
      <c r="A11" s="125">
        <v>100</v>
      </c>
      <c r="B11" s="126">
        <v>4200</v>
      </c>
      <c r="C11" s="126">
        <v>5300</v>
      </c>
      <c r="D11" s="126">
        <v>6400</v>
      </c>
      <c r="E11" s="126">
        <v>7400</v>
      </c>
      <c r="F11" s="126">
        <v>8500</v>
      </c>
      <c r="G11" s="126">
        <v>9500</v>
      </c>
      <c r="H11" s="126">
        <v>10600</v>
      </c>
      <c r="I11" s="126">
        <v>11700</v>
      </c>
      <c r="J11" s="126">
        <v>12700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9" ht="15.7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 spans="1:29" ht="15.7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</row>
    <row r="14" spans="1:29" ht="15.7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 spans="1:29" ht="15.7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</row>
    <row r="16" spans="1:29" ht="15.7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 spans="1:29" ht="15.7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</row>
    <row r="18" spans="1:29" ht="15.7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 spans="1:2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spans="1:29" ht="21" customHeight="1">
      <c r="A20" s="127" t="s">
        <v>406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 spans="1:29" ht="15.75" customHeight="1">
      <c r="A21" s="128" t="s">
        <v>407</v>
      </c>
      <c r="B21" s="129" t="s">
        <v>408</v>
      </c>
      <c r="C21" s="129" t="s">
        <v>409</v>
      </c>
      <c r="D21" s="129" t="s">
        <v>410</v>
      </c>
      <c r="E21" s="129" t="s">
        <v>411</v>
      </c>
      <c r="F21" s="129" t="s">
        <v>412</v>
      </c>
      <c r="G21" s="129" t="s">
        <v>413</v>
      </c>
      <c r="H21" s="129" t="s">
        <v>414</v>
      </c>
      <c r="I21" s="129" t="s">
        <v>415</v>
      </c>
      <c r="J21" s="129" t="s">
        <v>416</v>
      </c>
      <c r="K21" s="129" t="s">
        <v>417</v>
      </c>
      <c r="L21" s="129" t="s">
        <v>418</v>
      </c>
      <c r="M21" s="129" t="s">
        <v>419</v>
      </c>
      <c r="N21" s="129" t="s">
        <v>420</v>
      </c>
      <c r="O21" s="129" t="s">
        <v>421</v>
      </c>
      <c r="P21" s="129" t="s">
        <v>422</v>
      </c>
      <c r="Q21" s="129" t="s">
        <v>423</v>
      </c>
      <c r="R21" s="129" t="s">
        <v>424</v>
      </c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 spans="1:29" ht="15.75" customHeight="1">
      <c r="A22" s="130"/>
      <c r="B22" s="131"/>
      <c r="C22" s="131"/>
      <c r="D22" s="131"/>
      <c r="E22" s="131"/>
      <c r="F22" s="131"/>
      <c r="G22" s="131"/>
      <c r="H22" s="131"/>
      <c r="I22" s="131"/>
      <c r="J22" s="131"/>
      <c r="K22" s="131"/>
      <c r="L22" s="131"/>
      <c r="M22" s="131"/>
      <c r="N22" s="131"/>
      <c r="O22" s="131"/>
      <c r="P22" s="131"/>
      <c r="Q22" s="131"/>
      <c r="R22" s="131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 spans="1:29" ht="15.75" customHeight="1">
      <c r="A23" s="132">
        <v>1</v>
      </c>
      <c r="B23" s="131">
        <v>0</v>
      </c>
      <c r="C23" s="131">
        <v>1100</v>
      </c>
      <c r="D23" s="131">
        <v>1300</v>
      </c>
      <c r="E23" s="131">
        <v>300</v>
      </c>
      <c r="F23" s="131">
        <v>800</v>
      </c>
      <c r="G23" s="131"/>
      <c r="H23" s="131">
        <v>800</v>
      </c>
      <c r="I23" s="131">
        <v>700</v>
      </c>
      <c r="J23" s="131"/>
      <c r="K23" s="131">
        <v>1700</v>
      </c>
      <c r="L23" s="131">
        <v>2600</v>
      </c>
      <c r="M23" s="131"/>
      <c r="N23" s="131"/>
      <c r="O23" s="131">
        <v>1000</v>
      </c>
      <c r="P23" s="131">
        <v>500</v>
      </c>
      <c r="Q23" s="131"/>
      <c r="R23" s="131">
        <v>500</v>
      </c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 spans="1:29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 spans="1:29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</row>
    <row r="26" spans="1:29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</row>
    <row r="27" spans="1:29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</row>
    <row r="28" spans="1:29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</row>
    <row r="29" spans="1:29" ht="15.75" customHeight="1">
      <c r="A29" s="133"/>
      <c r="B29" s="133"/>
      <c r="C29" s="133"/>
      <c r="D29" s="133"/>
      <c r="E29" s="13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 spans="1:29" ht="15.75" customHeight="1">
      <c r="A30" s="133"/>
      <c r="B30" s="133"/>
      <c r="C30" s="133"/>
      <c r="D30" s="133"/>
      <c r="E30" s="13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spans="1:29" ht="15.75" customHeight="1">
      <c r="A31" s="133"/>
      <c r="B31" s="133"/>
      <c r="C31" s="133"/>
      <c r="D31" s="133"/>
      <c r="E31" s="13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spans="1:29" ht="15.75" customHeight="1">
      <c r="A32" s="133"/>
      <c r="B32" s="133"/>
      <c r="C32" s="133"/>
      <c r="D32" s="133"/>
      <c r="E32" s="13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 spans="1:29" ht="15.75" customHeight="1">
      <c r="A33" s="133"/>
      <c r="B33" s="133"/>
      <c r="C33" s="133"/>
      <c r="D33" s="133"/>
      <c r="E33" s="13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</row>
    <row r="34" spans="1:29" ht="15.75" customHeight="1">
      <c r="A34" s="133"/>
      <c r="B34" s="133"/>
      <c r="C34" s="133"/>
      <c r="D34" s="133"/>
      <c r="E34" s="13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</row>
    <row r="35" spans="1:29" ht="15.75" customHeight="1">
      <c r="A35" s="133"/>
      <c r="B35" s="133"/>
      <c r="C35" s="133"/>
      <c r="D35" s="133"/>
      <c r="E35" s="13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</row>
    <row r="36" spans="1:29" ht="15.75" customHeight="1">
      <c r="A36" s="133"/>
      <c r="B36" s="133"/>
      <c r="C36" s="133"/>
      <c r="D36" s="133"/>
      <c r="E36" s="13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</row>
    <row r="37" spans="1:29" ht="15.75" customHeight="1">
      <c r="A37" s="133"/>
      <c r="B37" s="133"/>
      <c r="C37" s="133"/>
      <c r="D37" s="133"/>
      <c r="E37" s="13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</row>
    <row r="38" spans="1:29" ht="15.75" customHeight="1">
      <c r="A38" s="133"/>
      <c r="B38" s="133"/>
      <c r="C38" s="133"/>
      <c r="D38" s="133"/>
      <c r="E38" s="13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</row>
    <row r="39" spans="1:29" ht="15.75" customHeight="1">
      <c r="A39" s="133"/>
      <c r="B39" s="133"/>
      <c r="C39" s="133"/>
      <c r="D39" s="133"/>
      <c r="E39" s="13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 spans="1:29" ht="15.75" customHeight="1">
      <c r="A40" s="133"/>
      <c r="B40" s="133"/>
      <c r="C40" s="133"/>
      <c r="D40" s="133"/>
      <c r="E40" s="13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 spans="1:29" ht="15.75" customHeight="1">
      <c r="A41" s="133"/>
      <c r="B41" s="133"/>
      <c r="C41" s="133"/>
      <c r="D41" s="133"/>
      <c r="E41" s="13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</row>
    <row r="42" spans="1:29" ht="15.75" customHeight="1">
      <c r="A42" s="133"/>
      <c r="B42" s="133"/>
      <c r="C42" s="133"/>
      <c r="D42" s="133"/>
      <c r="E42" s="13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</row>
    <row r="43" spans="1:29" ht="15.75" customHeight="1">
      <c r="A43" s="133"/>
      <c r="B43" s="133"/>
      <c r="C43" s="133"/>
      <c r="D43" s="133"/>
      <c r="E43" s="13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</row>
    <row r="44" spans="1:29" ht="15.75" customHeight="1">
      <c r="A44" s="133"/>
      <c r="B44" s="133"/>
      <c r="C44" s="133"/>
      <c r="D44" s="133"/>
      <c r="E44" s="13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</row>
    <row r="45" spans="1:29" ht="15.75" customHeight="1">
      <c r="A45" s="133"/>
      <c r="B45" s="133"/>
      <c r="C45" s="133"/>
      <c r="D45" s="133"/>
      <c r="E45" s="13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</row>
    <row r="46" spans="1:29" ht="15.75" customHeight="1">
      <c r="A46" s="133"/>
      <c r="B46" s="133"/>
      <c r="C46" s="133"/>
      <c r="D46" s="133"/>
      <c r="E46" s="13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</row>
    <row r="47" spans="1:29" ht="15.75" customHeight="1">
      <c r="A47" s="133"/>
      <c r="B47" s="133"/>
      <c r="C47" s="133"/>
      <c r="D47" s="133"/>
      <c r="E47" s="13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</row>
    <row r="48" spans="1:29" ht="15.75" customHeight="1">
      <c r="A48" s="133"/>
      <c r="B48" s="133"/>
      <c r="C48" s="133"/>
      <c r="D48" s="133"/>
      <c r="E48" s="13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</row>
    <row r="49" spans="1:29" ht="15.75" customHeight="1">
      <c r="A49" s="133"/>
      <c r="B49" s="133"/>
      <c r="C49" s="133"/>
      <c r="D49" s="133"/>
      <c r="E49" s="13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</row>
    <row r="50" spans="1:29" ht="15.75" customHeight="1">
      <c r="A50" s="133"/>
      <c r="B50" s="133"/>
      <c r="C50" s="133"/>
      <c r="D50" s="133"/>
      <c r="E50" s="13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</row>
    <row r="51" spans="1:29" ht="15.75" customHeight="1">
      <c r="A51" s="133"/>
      <c r="B51" s="133"/>
      <c r="C51" s="133"/>
      <c r="D51" s="133"/>
      <c r="E51" s="13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</row>
    <row r="52" spans="1:29" ht="15.75" customHeight="1">
      <c r="A52" s="133"/>
      <c r="B52" s="133"/>
      <c r="C52" s="133"/>
      <c r="D52" s="133"/>
      <c r="E52" s="13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</row>
    <row r="53" spans="1:29" ht="15.75" customHeight="1">
      <c r="A53" s="133"/>
      <c r="B53" s="133"/>
      <c r="C53" s="133"/>
      <c r="D53" s="133"/>
      <c r="E53" s="13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</row>
    <row r="54" spans="1:29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</row>
    <row r="55" spans="1:29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 spans="1:29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r="57" spans="1:29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</row>
    <row r="58" spans="1:29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</row>
    <row r="59" spans="1:2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</row>
    <row r="60" spans="1:29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</row>
    <row r="61" spans="1:29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</row>
    <row r="62" spans="1:29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</row>
    <row r="63" spans="1:29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</row>
    <row r="64" spans="1:29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</row>
    <row r="65" spans="1:29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</row>
    <row r="66" spans="1:29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</row>
    <row r="67" spans="1:29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</row>
    <row r="68" spans="1:29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</row>
    <row r="69" spans="1:2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</row>
    <row r="70" spans="1:29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</row>
    <row r="71" spans="1:29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</row>
    <row r="72" spans="1:29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</row>
    <row r="73" spans="1:29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</row>
    <row r="74" spans="1:29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</row>
    <row r="75" spans="1:29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</row>
    <row r="76" spans="1:29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</row>
    <row r="77" spans="1:29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</row>
    <row r="78" spans="1:29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</row>
    <row r="79" spans="1:2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</row>
    <row r="80" spans="1:29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</row>
    <row r="81" spans="1:29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</row>
    <row r="82" spans="1:29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</row>
    <row r="83" spans="1:29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</row>
    <row r="84" spans="1:29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</row>
    <row r="85" spans="1:29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</row>
    <row r="86" spans="1:29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</row>
    <row r="87" spans="1:29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</row>
    <row r="88" spans="1:29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</row>
    <row r="89" spans="1:2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</row>
    <row r="90" spans="1:29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</row>
    <row r="91" spans="1:29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</row>
    <row r="92" spans="1:29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</row>
    <row r="93" spans="1:29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</row>
    <row r="94" spans="1:29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</row>
    <row r="95" spans="1:29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</row>
    <row r="96" spans="1:29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</row>
    <row r="97" spans="1:29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</row>
    <row r="98" spans="1:29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</row>
    <row r="99" spans="1:2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</row>
    <row r="100" spans="1:29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</row>
    <row r="101" spans="1:29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</row>
    <row r="102" spans="1:29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</row>
    <row r="103" spans="1:29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</row>
    <row r="104" spans="1:29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</row>
    <row r="105" spans="1:29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</row>
    <row r="106" spans="1:29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</row>
    <row r="107" spans="1:29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</row>
    <row r="108" spans="1:29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</row>
    <row r="109" spans="1:2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</row>
    <row r="110" spans="1:29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</row>
    <row r="111" spans="1:29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</row>
    <row r="112" spans="1:29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</row>
    <row r="113" spans="1:29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</row>
    <row r="114" spans="1:29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</row>
    <row r="115" spans="1:29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</row>
    <row r="116" spans="1:29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</row>
    <row r="117" spans="1:29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</row>
    <row r="118" spans="1:29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</row>
    <row r="119" spans="1:2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</row>
    <row r="120" spans="1:29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</row>
    <row r="121" spans="1:29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</row>
    <row r="122" spans="1:29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</row>
    <row r="123" spans="1:29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</row>
    <row r="124" spans="1:29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</row>
    <row r="125" spans="1:29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</row>
    <row r="126" spans="1:29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</row>
    <row r="127" spans="1:29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</row>
    <row r="128" spans="1:29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</row>
    <row r="129" spans="1: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</row>
    <row r="130" spans="1:29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</row>
    <row r="131" spans="1:29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</row>
    <row r="132" spans="1:29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</row>
    <row r="133" spans="1:29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</row>
    <row r="134" spans="1:29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</row>
    <row r="135" spans="1:29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</row>
    <row r="136" spans="1:29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</row>
    <row r="137" spans="1:29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</row>
    <row r="138" spans="1:29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</row>
    <row r="139" spans="1:2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</row>
    <row r="140" spans="1:29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</row>
    <row r="141" spans="1:29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</row>
    <row r="142" spans="1:29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</row>
    <row r="143" spans="1:29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</row>
    <row r="144" spans="1:29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</row>
    <row r="145" spans="1:29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</row>
    <row r="146" spans="1:29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</row>
    <row r="147" spans="1:29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</row>
    <row r="148" spans="1:29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</row>
    <row r="149" spans="1:2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</row>
    <row r="150" spans="1:29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</row>
    <row r="151" spans="1:29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</row>
    <row r="152" spans="1:29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</row>
    <row r="153" spans="1:29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</row>
    <row r="154" spans="1:29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</row>
    <row r="155" spans="1:29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</row>
    <row r="156" spans="1:29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</row>
    <row r="157" spans="1:29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</row>
    <row r="158" spans="1:29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</row>
    <row r="159" spans="1:2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</row>
    <row r="160" spans="1:29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</row>
    <row r="161" spans="1:29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</row>
    <row r="162" spans="1:29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</row>
    <row r="163" spans="1:29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</row>
    <row r="164" spans="1:29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</row>
    <row r="165" spans="1:29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</row>
    <row r="166" spans="1:29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</row>
    <row r="167" spans="1:29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</row>
    <row r="168" spans="1:29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</row>
    <row r="169" spans="1:2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</row>
    <row r="170" spans="1:29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</row>
    <row r="171" spans="1:29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</row>
    <row r="172" spans="1:29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</row>
    <row r="173" spans="1:29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</row>
    <row r="174" spans="1:29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</row>
    <row r="175" spans="1:29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</row>
    <row r="176" spans="1:29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</row>
    <row r="177" spans="1:29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</row>
    <row r="178" spans="1:29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</row>
    <row r="179" spans="1:2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</row>
    <row r="180" spans="1:29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</row>
    <row r="181" spans="1:29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</row>
    <row r="182" spans="1:29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</row>
    <row r="183" spans="1:29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</row>
    <row r="184" spans="1:29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</row>
    <row r="185" spans="1:29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</row>
    <row r="186" spans="1:29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</row>
    <row r="187" spans="1:29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</row>
    <row r="188" spans="1:29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</row>
    <row r="189" spans="1:2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</row>
    <row r="190" spans="1:29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</row>
    <row r="191" spans="1:29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</row>
    <row r="192" spans="1:29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</row>
    <row r="193" spans="1:29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</row>
    <row r="194" spans="1:29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</row>
    <row r="195" spans="1:29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</row>
    <row r="196" spans="1:29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</row>
    <row r="197" spans="1:29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</row>
    <row r="198" spans="1:29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</row>
    <row r="199" spans="1:2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</row>
    <row r="200" spans="1:29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</row>
    <row r="201" spans="1:29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</row>
    <row r="202" spans="1:29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</row>
    <row r="203" spans="1:29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</row>
    <row r="204" spans="1:29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</row>
    <row r="205" spans="1:29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</row>
    <row r="206" spans="1:29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</row>
    <row r="207" spans="1:29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</row>
    <row r="208" spans="1:29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</row>
    <row r="209" spans="1:2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</row>
    <row r="210" spans="1:29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</row>
    <row r="211" spans="1:29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</row>
    <row r="212" spans="1:29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</row>
    <row r="213" spans="1:29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</row>
    <row r="214" spans="1:29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</row>
    <row r="215" spans="1:29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</row>
    <row r="216" spans="1:29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</row>
    <row r="217" spans="1:29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</row>
    <row r="218" spans="1:29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</row>
    <row r="219" spans="1:2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</row>
    <row r="220" spans="1:29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</row>
    <row r="221" spans="1:29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</row>
    <row r="222" spans="1:29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</row>
    <row r="223" spans="1:29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</row>
    <row r="224" spans="1:29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</row>
    <row r="225" spans="1:29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</row>
    <row r="226" spans="1:29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</row>
    <row r="227" spans="1:29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</row>
    <row r="228" spans="1:29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</row>
    <row r="229" spans="1: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</row>
    <row r="230" spans="1:29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</row>
    <row r="231" spans="1:29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</row>
    <row r="232" spans="1:29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</row>
    <row r="233" spans="1:29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</row>
    <row r="234" spans="1:29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</row>
    <row r="235" spans="1:29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</row>
    <row r="236" spans="1:29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</row>
    <row r="237" spans="1:29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</row>
    <row r="238" spans="1:29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</row>
    <row r="239" spans="1:2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</row>
    <row r="240" spans="1:29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</row>
    <row r="241" spans="1:29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</row>
    <row r="242" spans="1:29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</row>
    <row r="243" spans="1:29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</row>
    <row r="244" spans="1:29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</row>
    <row r="245" spans="1:29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</row>
    <row r="246" spans="1:29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</row>
    <row r="247" spans="1:29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</row>
    <row r="248" spans="1:29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</row>
    <row r="249" spans="1:2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</row>
    <row r="250" spans="1:29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</row>
    <row r="251" spans="1:29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</row>
    <row r="252" spans="1:29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</row>
    <row r="253" spans="1:29" ht="15.75" customHeight="1"/>
    <row r="254" spans="1:29" ht="15.75" customHeight="1"/>
    <row r="255" spans="1:29" ht="15.75" customHeight="1"/>
    <row r="256" spans="1:29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37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Y1000"/>
  <sheetViews>
    <sheetView workbookViewId="0"/>
  </sheetViews>
  <sheetFormatPr defaultColWidth="12.5703125" defaultRowHeight="15" customHeight="1"/>
  <cols>
    <col min="1" max="1" width="10.140625" customWidth="1"/>
    <col min="2" max="5" width="10" customWidth="1"/>
    <col min="6" max="6" width="12.5703125" customWidth="1"/>
  </cols>
  <sheetData>
    <row r="1" spans="1:25" ht="15.75" customHeight="1">
      <c r="A1" s="134" t="s">
        <v>425</v>
      </c>
      <c r="B1" s="133"/>
      <c r="C1" s="133"/>
      <c r="D1" s="3"/>
      <c r="E1" s="3"/>
      <c r="F1" s="3"/>
      <c r="G1" s="135" t="s">
        <v>426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5" ht="15.75" customHeight="1">
      <c r="A2" s="136"/>
      <c r="B2" s="137">
        <v>600</v>
      </c>
      <c r="C2" s="137">
        <v>800</v>
      </c>
      <c r="D2" s="137">
        <v>1000</v>
      </c>
      <c r="E2" s="137">
        <v>1200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ht="15.75" customHeight="1">
      <c r="A3" s="137">
        <v>600</v>
      </c>
      <c r="B3" s="138">
        <v>12000</v>
      </c>
      <c r="C3" s="139">
        <v>12000</v>
      </c>
      <c r="D3" s="139">
        <v>20000</v>
      </c>
      <c r="E3" s="139">
        <v>20000</v>
      </c>
      <c r="F3" s="3" t="s">
        <v>427</v>
      </c>
      <c r="G3" s="3" t="s">
        <v>428</v>
      </c>
      <c r="H3" s="4" t="s">
        <v>429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ht="15.75" customHeight="1">
      <c r="A4" s="137">
        <v>800</v>
      </c>
      <c r="B4" s="140">
        <v>12000</v>
      </c>
      <c r="C4" s="141">
        <v>20000</v>
      </c>
      <c r="D4" s="141">
        <v>20000</v>
      </c>
      <c r="E4" s="141">
        <v>20000</v>
      </c>
      <c r="F4" s="3" t="s">
        <v>430</v>
      </c>
      <c r="G4" s="3" t="s">
        <v>428</v>
      </c>
      <c r="H4" s="4" t="s">
        <v>431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 ht="15.75" customHeight="1">
      <c r="A5" s="137">
        <v>1000</v>
      </c>
      <c r="B5" s="140">
        <v>20000</v>
      </c>
      <c r="C5" s="141">
        <v>20000</v>
      </c>
      <c r="D5" s="142">
        <v>20000</v>
      </c>
      <c r="E5" s="62">
        <v>24000</v>
      </c>
      <c r="F5" s="3" t="s">
        <v>432</v>
      </c>
      <c r="G5" s="3" t="s">
        <v>428</v>
      </c>
      <c r="H5" s="4" t="s">
        <v>433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ht="15.75" customHeight="1">
      <c r="A6" s="137">
        <v>1200</v>
      </c>
      <c r="B6" s="140">
        <v>20000</v>
      </c>
      <c r="C6" s="141">
        <v>20000</v>
      </c>
      <c r="D6" s="62">
        <v>24000</v>
      </c>
      <c r="E6" s="62">
        <v>28800</v>
      </c>
      <c r="F6" s="3"/>
      <c r="G6" s="3"/>
      <c r="H6" s="4" t="s">
        <v>434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ht="15.75" customHeight="1">
      <c r="A7" s="137">
        <v>1400</v>
      </c>
      <c r="B7" s="140">
        <v>20000</v>
      </c>
      <c r="C7" s="62">
        <v>22400</v>
      </c>
      <c r="D7" s="62">
        <v>28000</v>
      </c>
      <c r="E7" s="62">
        <v>33600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ht="15.75" customHeight="1">
      <c r="A8" s="137">
        <v>1600</v>
      </c>
      <c r="B8" s="140">
        <v>20000</v>
      </c>
      <c r="C8" s="62">
        <v>25600</v>
      </c>
      <c r="D8" s="62">
        <v>32000</v>
      </c>
      <c r="E8" s="62">
        <v>38400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 ht="15.75" customHeight="1">
      <c r="A9" s="137">
        <v>1800</v>
      </c>
      <c r="B9" s="143">
        <v>21600</v>
      </c>
      <c r="C9" s="62">
        <v>28800</v>
      </c>
      <c r="D9" s="62">
        <v>36000</v>
      </c>
      <c r="E9" s="62">
        <v>43200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ht="15.75" customHeight="1">
      <c r="A10" s="137">
        <v>2000</v>
      </c>
      <c r="B10" s="143">
        <v>24000</v>
      </c>
      <c r="C10" s="62">
        <v>32000</v>
      </c>
      <c r="D10" s="62">
        <v>40000</v>
      </c>
      <c r="E10" s="62">
        <v>48000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 ht="15.75" customHeight="1">
      <c r="A11" s="137">
        <v>2200</v>
      </c>
      <c r="B11" s="143">
        <v>26400</v>
      </c>
      <c r="C11" s="62">
        <v>35200</v>
      </c>
      <c r="D11" s="62">
        <v>44000</v>
      </c>
      <c r="E11" s="62">
        <v>52800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ht="15.75" customHeight="1">
      <c r="A12" s="137">
        <v>2400</v>
      </c>
      <c r="B12" s="143">
        <v>28800</v>
      </c>
      <c r="C12" s="62">
        <v>38400</v>
      </c>
      <c r="D12" s="62">
        <v>48000</v>
      </c>
      <c r="E12" s="62">
        <v>57600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ht="15.75" customHeight="1">
      <c r="A13" s="137">
        <v>2600</v>
      </c>
      <c r="B13" s="143">
        <v>31200</v>
      </c>
      <c r="C13" s="62">
        <v>41600</v>
      </c>
      <c r="D13" s="62">
        <v>52000</v>
      </c>
      <c r="E13" s="62">
        <v>62400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5" ht="15.75" customHeight="1">
      <c r="A14" s="137">
        <v>2800</v>
      </c>
      <c r="B14" s="143">
        <v>33600</v>
      </c>
      <c r="C14" s="62">
        <v>44800</v>
      </c>
      <c r="D14" s="62">
        <v>56000</v>
      </c>
      <c r="E14" s="62">
        <v>67200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 ht="15.75" customHeight="1">
      <c r="A15" s="137">
        <v>3000</v>
      </c>
      <c r="B15" s="143">
        <v>36000</v>
      </c>
      <c r="C15" s="62">
        <v>48000</v>
      </c>
      <c r="D15" s="62">
        <v>60000</v>
      </c>
      <c r="E15" s="62">
        <v>72000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5" ht="15.7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ht="15.7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ht="15.75" customHeight="1">
      <c r="A18" s="134" t="s">
        <v>435</v>
      </c>
      <c r="B18" s="133"/>
      <c r="C18" s="13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ht="15.75" customHeight="1">
      <c r="A19" s="144"/>
      <c r="B19" s="20">
        <v>600</v>
      </c>
      <c r="C19" s="20">
        <v>800</v>
      </c>
      <c r="D19" s="3">
        <v>900</v>
      </c>
      <c r="E19" s="3"/>
      <c r="F19" s="3"/>
      <c r="G19" s="4" t="s">
        <v>429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ht="15.75" customHeight="1">
      <c r="A20" s="3">
        <v>600</v>
      </c>
      <c r="B20" s="145">
        <v>12000</v>
      </c>
      <c r="C20" s="145">
        <v>12000</v>
      </c>
      <c r="D20" s="145">
        <v>20000</v>
      </c>
      <c r="E20" s="3"/>
      <c r="F20" s="3"/>
      <c r="G20" s="4" t="s">
        <v>431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ht="15.75" customHeight="1">
      <c r="A21" s="3">
        <v>800</v>
      </c>
      <c r="B21" s="145">
        <v>12000</v>
      </c>
      <c r="C21" s="145">
        <v>20000</v>
      </c>
      <c r="D21" s="145">
        <v>20000</v>
      </c>
      <c r="E21" s="3"/>
      <c r="F21" s="3"/>
      <c r="G21" s="4" t="s">
        <v>433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ht="15.75" customHeight="1">
      <c r="A22" s="3">
        <v>1000</v>
      </c>
      <c r="B22" s="16">
        <v>20000</v>
      </c>
      <c r="C22" s="145">
        <v>20000</v>
      </c>
      <c r="D22" s="145">
        <v>20000</v>
      </c>
      <c r="E22" s="3"/>
      <c r="F22" s="3"/>
      <c r="G22" s="4" t="s">
        <v>434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ht="15.75" customHeight="1">
      <c r="A23" s="3">
        <v>1200</v>
      </c>
      <c r="B23" s="16">
        <v>20000</v>
      </c>
      <c r="C23" s="145">
        <v>20000</v>
      </c>
      <c r="D23" s="146">
        <v>21600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ht="15.75" customHeight="1">
      <c r="A24" s="3">
        <v>1400</v>
      </c>
      <c r="B24" s="16">
        <v>20000</v>
      </c>
      <c r="C24" s="146">
        <v>22400</v>
      </c>
      <c r="D24" s="62">
        <v>25200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ht="15.75" customHeight="1">
      <c r="A25" s="3">
        <v>1600</v>
      </c>
      <c r="B25" s="16">
        <v>20000</v>
      </c>
      <c r="C25" s="143">
        <v>25600</v>
      </c>
      <c r="D25" s="62">
        <v>28800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ht="15.75" customHeight="1">
      <c r="A26" s="3">
        <v>1800</v>
      </c>
      <c r="B26" s="146">
        <v>21600</v>
      </c>
      <c r="C26" s="62">
        <v>28800</v>
      </c>
      <c r="D26" s="62">
        <v>32400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5" ht="15.75" customHeight="1">
      <c r="A27" s="3">
        <v>2000</v>
      </c>
      <c r="B27" s="143">
        <v>24000</v>
      </c>
      <c r="C27" s="62">
        <v>32000</v>
      </c>
      <c r="D27" s="62">
        <v>36000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spans="1:25" ht="15.75" customHeight="1">
      <c r="A28" s="3">
        <v>2200</v>
      </c>
      <c r="B28" s="143">
        <v>26400</v>
      </c>
      <c r="C28" s="62">
        <v>35200</v>
      </c>
      <c r="D28" s="62">
        <v>39600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5" ht="15.75" customHeight="1">
      <c r="A29" s="3">
        <v>2400</v>
      </c>
      <c r="B29" s="143">
        <v>28800</v>
      </c>
      <c r="C29" s="62">
        <v>38400</v>
      </c>
      <c r="D29" s="62">
        <v>43200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spans="1:25" ht="15.75" customHeight="1">
      <c r="A30" s="3">
        <v>2600</v>
      </c>
      <c r="B30" s="143">
        <v>31200</v>
      </c>
      <c r="C30" s="62">
        <v>41600</v>
      </c>
      <c r="D30" s="62">
        <v>46800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5" ht="15.75" customHeight="1">
      <c r="A31" s="3">
        <v>2800</v>
      </c>
      <c r="B31" s="143">
        <v>33600</v>
      </c>
      <c r="C31" s="62">
        <v>44800</v>
      </c>
      <c r="D31" s="62">
        <v>50400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spans="1:25" ht="15.75" customHeight="1">
      <c r="A32" s="3">
        <v>3000</v>
      </c>
      <c r="B32" s="143">
        <v>36000</v>
      </c>
      <c r="C32" s="62">
        <v>48000</v>
      </c>
      <c r="D32" s="62">
        <v>54000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1:25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spans="1:25" ht="15.75" customHeight="1">
      <c r="A35" s="134" t="s">
        <v>436</v>
      </c>
      <c r="B35" s="133"/>
      <c r="C35" s="13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ht="15.75" customHeight="1">
      <c r="A36" s="136"/>
      <c r="B36" s="137">
        <v>600</v>
      </c>
      <c r="C36" s="137">
        <v>800</v>
      </c>
      <c r="D36" s="137">
        <v>1000</v>
      </c>
      <c r="E36" s="137">
        <v>1200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ht="15.75" customHeight="1">
      <c r="A37" s="137">
        <v>600</v>
      </c>
      <c r="B37" s="138">
        <v>12000</v>
      </c>
      <c r="C37" s="139">
        <v>12000</v>
      </c>
      <c r="D37" s="139">
        <v>20000</v>
      </c>
      <c r="E37" s="139">
        <v>20000</v>
      </c>
      <c r="F37" s="3"/>
      <c r="G37" s="4" t="s">
        <v>429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ht="15.75" customHeight="1">
      <c r="A38" s="137">
        <v>800</v>
      </c>
      <c r="B38" s="140">
        <v>12000</v>
      </c>
      <c r="C38" s="141">
        <v>20000</v>
      </c>
      <c r="D38" s="141">
        <v>20000</v>
      </c>
      <c r="E38" s="141">
        <v>20000</v>
      </c>
      <c r="F38" s="3"/>
      <c r="G38" s="4" t="s">
        <v>431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ht="15.75" customHeight="1">
      <c r="A39" s="137">
        <v>1000</v>
      </c>
      <c r="B39" s="140">
        <v>20000</v>
      </c>
      <c r="C39" s="141">
        <v>20000</v>
      </c>
      <c r="D39" s="142">
        <v>20000</v>
      </c>
      <c r="E39" s="62">
        <v>24000</v>
      </c>
      <c r="F39" s="3"/>
      <c r="G39" s="4" t="s">
        <v>433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ht="15.75" customHeight="1">
      <c r="A40" s="137">
        <v>1200</v>
      </c>
      <c r="B40" s="140">
        <v>20000</v>
      </c>
      <c r="C40" s="141">
        <v>20000</v>
      </c>
      <c r="D40" s="62">
        <v>24000</v>
      </c>
      <c r="E40" s="62">
        <v>28800</v>
      </c>
      <c r="F40" s="3"/>
      <c r="G40" s="4" t="s">
        <v>434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ht="15.75" customHeight="1">
      <c r="A41" s="137">
        <v>1400</v>
      </c>
      <c r="B41" s="140">
        <v>20000</v>
      </c>
      <c r="C41" s="62">
        <v>22400</v>
      </c>
      <c r="D41" s="62">
        <v>28000</v>
      </c>
      <c r="E41" s="62">
        <v>33600</v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spans="1:25" ht="15.75" customHeight="1">
      <c r="A42" s="137">
        <v>1600</v>
      </c>
      <c r="B42" s="140">
        <v>20000</v>
      </c>
      <c r="C42" s="62">
        <v>25600</v>
      </c>
      <c r="D42" s="62">
        <v>32000</v>
      </c>
      <c r="E42" s="62">
        <v>38400</v>
      </c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spans="1:25" ht="15.75" customHeight="1">
      <c r="A43" s="137">
        <v>1800</v>
      </c>
      <c r="B43" s="143">
        <v>21600</v>
      </c>
      <c r="C43" s="62">
        <v>28800</v>
      </c>
      <c r="D43" s="62">
        <v>36000</v>
      </c>
      <c r="E43" s="62">
        <v>43200</v>
      </c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spans="1:25" ht="15.75" customHeight="1">
      <c r="A44" s="137">
        <v>2000</v>
      </c>
      <c r="B44" s="143">
        <v>24000</v>
      </c>
      <c r="C44" s="62">
        <v>32000</v>
      </c>
      <c r="D44" s="62">
        <v>40000</v>
      </c>
      <c r="E44" s="62">
        <v>48000</v>
      </c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spans="1:25" ht="15.75" customHeight="1">
      <c r="A45" s="137">
        <v>2200</v>
      </c>
      <c r="B45" s="143">
        <v>26400</v>
      </c>
      <c r="C45" s="62">
        <v>35200</v>
      </c>
      <c r="D45" s="62">
        <v>44000</v>
      </c>
      <c r="E45" s="62">
        <v>52800</v>
      </c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spans="1:25" ht="15.75" customHeight="1">
      <c r="A46" s="137">
        <v>2400</v>
      </c>
      <c r="B46" s="143">
        <v>28800</v>
      </c>
      <c r="C46" s="62">
        <v>38400</v>
      </c>
      <c r="D46" s="62">
        <v>48000</v>
      </c>
      <c r="E46" s="62">
        <v>57600</v>
      </c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spans="1:25" ht="15.75" customHeight="1">
      <c r="A47" s="137">
        <v>2600</v>
      </c>
      <c r="B47" s="143">
        <v>31200</v>
      </c>
      <c r="C47" s="62">
        <v>41600</v>
      </c>
      <c r="D47" s="62">
        <v>52000</v>
      </c>
      <c r="E47" s="62">
        <v>62400</v>
      </c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spans="1:25" ht="15.75" customHeight="1">
      <c r="A48" s="137">
        <v>2800</v>
      </c>
      <c r="B48" s="143">
        <v>33600</v>
      </c>
      <c r="C48" s="62">
        <v>44800</v>
      </c>
      <c r="D48" s="62">
        <v>56000</v>
      </c>
      <c r="E48" s="62">
        <v>67200</v>
      </c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spans="1:25" ht="15.75" customHeight="1">
      <c r="A49" s="137">
        <v>3000</v>
      </c>
      <c r="B49" s="143">
        <v>36000</v>
      </c>
      <c r="C49" s="62">
        <v>48000</v>
      </c>
      <c r="D49" s="62">
        <v>60000</v>
      </c>
      <c r="E49" s="62">
        <v>72000</v>
      </c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spans="1:25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spans="1:25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spans="1:25" ht="15.75" customHeight="1">
      <c r="A52" s="134" t="s">
        <v>437</v>
      </c>
      <c r="B52" s="133"/>
      <c r="C52" s="13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spans="1:25" ht="15.75" customHeight="1">
      <c r="A53" s="136"/>
      <c r="B53" s="137">
        <v>600</v>
      </c>
      <c r="C53" s="137">
        <v>800</v>
      </c>
      <c r="D53" s="137">
        <v>1000</v>
      </c>
      <c r="E53" s="137">
        <v>1200</v>
      </c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spans="1:25" ht="15.75" customHeight="1">
      <c r="A54" s="137">
        <v>600</v>
      </c>
      <c r="B54" s="138">
        <v>12000</v>
      </c>
      <c r="C54" s="139">
        <v>12000</v>
      </c>
      <c r="D54" s="139">
        <v>20000</v>
      </c>
      <c r="E54" s="139">
        <v>20000</v>
      </c>
      <c r="F54" s="3"/>
      <c r="G54" s="4" t="s">
        <v>429</v>
      </c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spans="1:25" ht="15.75" customHeight="1">
      <c r="A55" s="137">
        <v>800</v>
      </c>
      <c r="B55" s="140">
        <v>12000</v>
      </c>
      <c r="C55" s="141">
        <v>20000</v>
      </c>
      <c r="D55" s="141">
        <v>20000</v>
      </c>
      <c r="E55" s="141">
        <v>20000</v>
      </c>
      <c r="F55" s="3"/>
      <c r="G55" s="4" t="s">
        <v>431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spans="1:25" ht="15.75" customHeight="1">
      <c r="A56" s="137">
        <v>1000</v>
      </c>
      <c r="B56" s="140">
        <v>20000</v>
      </c>
      <c r="C56" s="141">
        <v>20000</v>
      </c>
      <c r="D56" s="142">
        <v>20000</v>
      </c>
      <c r="E56" s="62">
        <v>24000</v>
      </c>
      <c r="F56" s="3"/>
      <c r="G56" s="4" t="s">
        <v>433</v>
      </c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spans="1:25" ht="15.75" customHeight="1">
      <c r="A57" s="137">
        <v>1200</v>
      </c>
      <c r="B57" s="140">
        <v>20000</v>
      </c>
      <c r="C57" s="141">
        <v>20000</v>
      </c>
      <c r="D57" s="62">
        <v>24000</v>
      </c>
      <c r="E57" s="62">
        <v>28800</v>
      </c>
      <c r="F57" s="3"/>
      <c r="G57" s="4" t="s">
        <v>434</v>
      </c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spans="1:25" ht="15.75" customHeight="1">
      <c r="A58" s="137">
        <v>1400</v>
      </c>
      <c r="B58" s="140">
        <v>20000</v>
      </c>
      <c r="C58" s="62">
        <v>22400</v>
      </c>
      <c r="D58" s="62">
        <v>28000</v>
      </c>
      <c r="E58" s="62">
        <v>33600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spans="1:25" ht="15.75" customHeight="1">
      <c r="A59" s="137">
        <v>1600</v>
      </c>
      <c r="B59" s="140">
        <v>20000</v>
      </c>
      <c r="C59" s="62">
        <v>25600</v>
      </c>
      <c r="D59" s="62">
        <v>32000</v>
      </c>
      <c r="E59" s="62">
        <v>38400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 spans="1:25" ht="15.75" customHeight="1">
      <c r="A60" s="137">
        <v>1800</v>
      </c>
      <c r="B60" s="143">
        <v>21600</v>
      </c>
      <c r="C60" s="62">
        <v>28800</v>
      </c>
      <c r="D60" s="62">
        <v>36000</v>
      </c>
      <c r="E60" s="62">
        <v>43200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 spans="1:25" ht="15.75" customHeight="1">
      <c r="A61" s="137">
        <v>2000</v>
      </c>
      <c r="B61" s="143">
        <v>24000</v>
      </c>
      <c r="C61" s="62">
        <v>32000</v>
      </c>
      <c r="D61" s="62">
        <v>40000</v>
      </c>
      <c r="E61" s="62">
        <v>48000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 spans="1:25" ht="15.75" customHeight="1">
      <c r="A62" s="137">
        <v>2200</v>
      </c>
      <c r="B62" s="143">
        <v>26400</v>
      </c>
      <c r="C62" s="62">
        <v>35200</v>
      </c>
      <c r="D62" s="62">
        <v>44000</v>
      </c>
      <c r="E62" s="62">
        <v>52800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spans="1:25" ht="15.75" customHeight="1">
      <c r="A63" s="137">
        <v>2400</v>
      </c>
      <c r="B63" s="143">
        <v>28800</v>
      </c>
      <c r="C63" s="62">
        <v>38400</v>
      </c>
      <c r="D63" s="62">
        <v>48000</v>
      </c>
      <c r="E63" s="62">
        <v>57600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spans="1:25" ht="15.75" customHeight="1">
      <c r="A64" s="137">
        <v>2600</v>
      </c>
      <c r="B64" s="143">
        <v>31200</v>
      </c>
      <c r="C64" s="62">
        <v>41600</v>
      </c>
      <c r="D64" s="62">
        <v>52000</v>
      </c>
      <c r="E64" s="62">
        <v>62400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spans="1:25" ht="15.75" customHeight="1">
      <c r="A65" s="137">
        <v>2800</v>
      </c>
      <c r="B65" s="143">
        <v>33600</v>
      </c>
      <c r="C65" s="62">
        <v>44800</v>
      </c>
      <c r="D65" s="62">
        <v>56000</v>
      </c>
      <c r="E65" s="62">
        <v>67200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spans="1:25" ht="15.75" customHeight="1">
      <c r="A66" s="137">
        <v>3000</v>
      </c>
      <c r="B66" s="143">
        <v>36000</v>
      </c>
      <c r="C66" s="62">
        <v>48000</v>
      </c>
      <c r="D66" s="62">
        <v>60000</v>
      </c>
      <c r="E66" s="62">
        <v>72000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spans="1:25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spans="1:25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spans="1:25" ht="15.75" customHeight="1">
      <c r="A69" s="134" t="s">
        <v>438</v>
      </c>
      <c r="B69" s="133"/>
      <c r="C69" s="13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spans="1:25" ht="15.75" customHeight="1">
      <c r="A70" s="136"/>
      <c r="B70" s="137">
        <v>600</v>
      </c>
      <c r="C70" s="137">
        <v>800</v>
      </c>
      <c r="D70" s="137">
        <v>1000</v>
      </c>
      <c r="E70" s="137">
        <v>1200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spans="1:25" ht="15.75" customHeight="1">
      <c r="A71" s="137">
        <v>600</v>
      </c>
      <c r="B71" s="138">
        <v>16000</v>
      </c>
      <c r="C71" s="139">
        <v>16000</v>
      </c>
      <c r="D71" s="139">
        <v>55000</v>
      </c>
      <c r="E71" s="139">
        <v>55000</v>
      </c>
      <c r="F71" s="3"/>
      <c r="G71" s="4" t="s">
        <v>439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spans="1:25" ht="15.75" customHeight="1">
      <c r="A72" s="137">
        <v>800</v>
      </c>
      <c r="B72" s="140">
        <v>16000</v>
      </c>
      <c r="C72" s="141">
        <v>55000</v>
      </c>
      <c r="D72" s="141">
        <v>55000</v>
      </c>
      <c r="E72" s="141">
        <v>55000</v>
      </c>
      <c r="F72" s="3"/>
      <c r="G72" s="4" t="s">
        <v>440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spans="1:25" ht="15.75" customHeight="1">
      <c r="A73" s="137">
        <v>1000</v>
      </c>
      <c r="B73" s="140">
        <v>55000</v>
      </c>
      <c r="C73" s="141">
        <v>55000</v>
      </c>
      <c r="D73" s="142">
        <v>55000</v>
      </c>
      <c r="E73" s="62">
        <v>66000</v>
      </c>
      <c r="F73" s="3"/>
      <c r="G73" s="4" t="s">
        <v>441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spans="1:25" ht="15.75" customHeight="1">
      <c r="A74" s="137">
        <v>1200</v>
      </c>
      <c r="B74" s="140">
        <v>55000</v>
      </c>
      <c r="C74" s="141">
        <v>55000</v>
      </c>
      <c r="D74" s="62">
        <v>66000</v>
      </c>
      <c r="E74" s="62">
        <v>79200</v>
      </c>
      <c r="F74" s="3"/>
      <c r="G74" s="4" t="s">
        <v>434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spans="1:25" ht="15.75" customHeight="1">
      <c r="A75" s="137">
        <v>1400</v>
      </c>
      <c r="B75" s="140">
        <v>55000</v>
      </c>
      <c r="C75" s="62">
        <v>61600</v>
      </c>
      <c r="D75" s="62">
        <v>77000</v>
      </c>
      <c r="E75" s="62">
        <v>92400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spans="1:25" ht="15.75" customHeight="1">
      <c r="A76" s="137">
        <v>1600</v>
      </c>
      <c r="B76" s="140">
        <v>55000</v>
      </c>
      <c r="C76" s="62">
        <v>70400</v>
      </c>
      <c r="D76" s="62">
        <v>88000</v>
      </c>
      <c r="E76" s="62">
        <v>105600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spans="1:25" ht="15.75" customHeight="1">
      <c r="A77" s="137">
        <v>1800</v>
      </c>
      <c r="B77" s="143">
        <v>59400</v>
      </c>
      <c r="C77" s="62">
        <v>79200</v>
      </c>
      <c r="D77" s="62">
        <v>99000</v>
      </c>
      <c r="E77" s="62">
        <v>118800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spans="1:25" ht="15.75" customHeight="1">
      <c r="A78" s="137">
        <v>2000</v>
      </c>
      <c r="B78" s="143">
        <v>66000</v>
      </c>
      <c r="C78" s="62">
        <v>88000</v>
      </c>
      <c r="D78" s="62">
        <v>110000</v>
      </c>
      <c r="E78" s="62">
        <v>132000</v>
      </c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spans="1:25" ht="15.75" customHeight="1">
      <c r="A79" s="137">
        <v>2200</v>
      </c>
      <c r="B79" s="143">
        <v>72600</v>
      </c>
      <c r="C79" s="62">
        <v>96800</v>
      </c>
      <c r="D79" s="62">
        <v>121000</v>
      </c>
      <c r="E79" s="62">
        <v>145200</v>
      </c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 spans="1:25" ht="15.75" customHeight="1">
      <c r="A80" s="137">
        <v>2400</v>
      </c>
      <c r="B80" s="143">
        <v>79200</v>
      </c>
      <c r="C80" s="62">
        <v>105600</v>
      </c>
      <c r="D80" s="62">
        <v>132000</v>
      </c>
      <c r="E80" s="62">
        <v>158400</v>
      </c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 spans="1:25" ht="15.75" customHeight="1">
      <c r="A81" s="137">
        <v>2600</v>
      </c>
      <c r="B81" s="143">
        <v>85800</v>
      </c>
      <c r="C81" s="62">
        <v>114400</v>
      </c>
      <c r="D81" s="62">
        <v>143000</v>
      </c>
      <c r="E81" s="62">
        <v>171600</v>
      </c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 spans="1:25" ht="15.75" customHeight="1">
      <c r="A82" s="137">
        <v>2800</v>
      </c>
      <c r="B82" s="143">
        <v>92400</v>
      </c>
      <c r="C82" s="62">
        <v>123200</v>
      </c>
      <c r="D82" s="62">
        <v>154000</v>
      </c>
      <c r="E82" s="62">
        <v>184800</v>
      </c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spans="1:25" ht="15.75" customHeight="1">
      <c r="A83" s="137">
        <v>3000</v>
      </c>
      <c r="B83" s="143">
        <v>99000</v>
      </c>
      <c r="C83" s="62">
        <v>132000</v>
      </c>
      <c r="D83" s="62">
        <v>165000</v>
      </c>
      <c r="E83" s="62">
        <v>198000</v>
      </c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 spans="1:25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 spans="1:2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spans="1:25" ht="15.75" customHeight="1">
      <c r="A86" s="134" t="s">
        <v>442</v>
      </c>
      <c r="B86" s="133"/>
      <c r="C86" s="13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 spans="1:25" ht="15.75" customHeight="1">
      <c r="A87" s="136"/>
      <c r="B87" s="137">
        <v>600</v>
      </c>
      <c r="C87" s="137">
        <v>800</v>
      </c>
      <c r="D87" s="137">
        <v>1000</v>
      </c>
      <c r="E87" s="137">
        <v>1200</v>
      </c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 spans="1:25" ht="15.75" customHeight="1">
      <c r="A88" s="137">
        <v>600</v>
      </c>
      <c r="B88" s="138">
        <v>12000</v>
      </c>
      <c r="C88" s="139">
        <v>12000</v>
      </c>
      <c r="D88" s="139">
        <v>20000</v>
      </c>
      <c r="E88" s="139">
        <v>20000</v>
      </c>
      <c r="F88" s="3"/>
      <c r="G88" s="4" t="s">
        <v>429</v>
      </c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 spans="1:25" ht="15.75" customHeight="1">
      <c r="A89" s="137">
        <v>800</v>
      </c>
      <c r="B89" s="140">
        <v>12000</v>
      </c>
      <c r="C89" s="141">
        <v>20000</v>
      </c>
      <c r="D89" s="141">
        <v>20000</v>
      </c>
      <c r="E89" s="141">
        <v>20000</v>
      </c>
      <c r="F89" s="3"/>
      <c r="G89" s="4" t="s">
        <v>431</v>
      </c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 spans="1:25" ht="15.75" customHeight="1">
      <c r="A90" s="137">
        <v>1000</v>
      </c>
      <c r="B90" s="140">
        <v>20000</v>
      </c>
      <c r="C90" s="141">
        <v>20000</v>
      </c>
      <c r="D90" s="142">
        <v>20000</v>
      </c>
      <c r="E90" s="62">
        <v>24000</v>
      </c>
      <c r="F90" s="3"/>
      <c r="G90" s="4" t="s">
        <v>433</v>
      </c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spans="1:25" ht="15.75" customHeight="1">
      <c r="A91" s="137">
        <v>1200</v>
      </c>
      <c r="B91" s="140">
        <v>20000</v>
      </c>
      <c r="C91" s="141">
        <v>20000</v>
      </c>
      <c r="D91" s="62">
        <v>24000</v>
      </c>
      <c r="E91" s="62">
        <v>28800</v>
      </c>
      <c r="F91" s="3"/>
      <c r="G91" s="4" t="s">
        <v>434</v>
      </c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 spans="1:25" ht="15.75" customHeight="1">
      <c r="A92" s="137">
        <v>1400</v>
      </c>
      <c r="B92" s="140">
        <v>20000</v>
      </c>
      <c r="C92" s="62">
        <v>22400</v>
      </c>
      <c r="D92" s="62">
        <v>28000</v>
      </c>
      <c r="E92" s="62">
        <v>33600</v>
      </c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 spans="1:25" ht="15.75" customHeight="1">
      <c r="A93" s="137">
        <v>1600</v>
      </c>
      <c r="B93" s="140">
        <v>20000</v>
      </c>
      <c r="C93" s="62">
        <v>25600</v>
      </c>
      <c r="D93" s="62">
        <v>32000</v>
      </c>
      <c r="E93" s="62">
        <v>38400</v>
      </c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 spans="1:25" ht="15.75" customHeight="1">
      <c r="A94" s="137">
        <v>1800</v>
      </c>
      <c r="B94" s="143">
        <v>21600</v>
      </c>
      <c r="C94" s="62">
        <v>28800</v>
      </c>
      <c r="D94" s="62">
        <v>36000</v>
      </c>
      <c r="E94" s="62">
        <v>43200</v>
      </c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 spans="1:25" ht="15.75" customHeight="1">
      <c r="A95" s="137">
        <v>2000</v>
      </c>
      <c r="B95" s="143">
        <v>24000</v>
      </c>
      <c r="C95" s="62">
        <v>32000</v>
      </c>
      <c r="D95" s="62">
        <v>40000</v>
      </c>
      <c r="E95" s="62">
        <v>48000</v>
      </c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spans="1:25" ht="15.75" customHeight="1">
      <c r="A96" s="137">
        <v>2200</v>
      </c>
      <c r="B96" s="143">
        <v>26400</v>
      </c>
      <c r="C96" s="62">
        <v>35200</v>
      </c>
      <c r="D96" s="62">
        <v>44000</v>
      </c>
      <c r="E96" s="62">
        <v>52800</v>
      </c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 spans="1:25" ht="15.75" customHeight="1">
      <c r="A97" s="137">
        <v>2400</v>
      </c>
      <c r="B97" s="143">
        <v>28800</v>
      </c>
      <c r="C97" s="62">
        <v>38400</v>
      </c>
      <c r="D97" s="62">
        <v>48000</v>
      </c>
      <c r="E97" s="62">
        <v>57600</v>
      </c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 spans="1:25" ht="15.75" customHeight="1">
      <c r="A98" s="137">
        <v>2600</v>
      </c>
      <c r="B98" s="143">
        <v>31200</v>
      </c>
      <c r="C98" s="62">
        <v>41600</v>
      </c>
      <c r="D98" s="62">
        <v>52000</v>
      </c>
      <c r="E98" s="62">
        <v>62400</v>
      </c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 spans="1:25" ht="15.75" customHeight="1">
      <c r="A99" s="137">
        <v>2800</v>
      </c>
      <c r="B99" s="143">
        <v>33600</v>
      </c>
      <c r="C99" s="62">
        <v>44800</v>
      </c>
      <c r="D99" s="62">
        <v>56000</v>
      </c>
      <c r="E99" s="62">
        <v>67200</v>
      </c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 spans="1:25" ht="15.75" customHeight="1">
      <c r="A100" s="137">
        <v>3000</v>
      </c>
      <c r="B100" s="143">
        <v>36000</v>
      </c>
      <c r="C100" s="62">
        <v>48000</v>
      </c>
      <c r="D100" s="62">
        <v>60000</v>
      </c>
      <c r="E100" s="62">
        <v>72000</v>
      </c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 spans="1:25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 spans="1:25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 spans="1:25" ht="15.75" customHeight="1">
      <c r="A103" s="134" t="s">
        <v>443</v>
      </c>
      <c r="B103" s="133"/>
      <c r="C103" s="13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 spans="1:25" ht="15.75" customHeight="1">
      <c r="A104" s="136"/>
      <c r="B104" s="137">
        <v>600</v>
      </c>
      <c r="C104" s="137">
        <v>800</v>
      </c>
      <c r="D104" s="137">
        <v>1000</v>
      </c>
      <c r="E104" s="137">
        <v>1200</v>
      </c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 spans="1:25" ht="15.75" customHeight="1">
      <c r="A105" s="137">
        <v>600</v>
      </c>
      <c r="B105" s="138">
        <v>17000</v>
      </c>
      <c r="C105" s="139">
        <v>17000</v>
      </c>
      <c r="D105" s="139">
        <v>30000</v>
      </c>
      <c r="E105" s="139">
        <v>30000</v>
      </c>
      <c r="F105" s="3"/>
      <c r="G105" s="4" t="s">
        <v>444</v>
      </c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 spans="1:25" ht="15.75" customHeight="1">
      <c r="A106" s="137">
        <v>800</v>
      </c>
      <c r="B106" s="140">
        <v>17000</v>
      </c>
      <c r="C106" s="141">
        <v>30000</v>
      </c>
      <c r="D106" s="141">
        <v>30000</v>
      </c>
      <c r="E106" s="141">
        <v>30000</v>
      </c>
      <c r="F106" s="3"/>
      <c r="G106" s="4" t="s">
        <v>445</v>
      </c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 spans="1:25" ht="15.75" customHeight="1">
      <c r="A107" s="137">
        <v>1000</v>
      </c>
      <c r="B107" s="140">
        <v>30000</v>
      </c>
      <c r="C107" s="141">
        <v>30000</v>
      </c>
      <c r="D107" s="142">
        <v>30000</v>
      </c>
      <c r="E107" s="62">
        <v>36000</v>
      </c>
      <c r="F107" s="3"/>
      <c r="G107" s="4" t="s">
        <v>446</v>
      </c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 spans="1:25" ht="15.75" customHeight="1">
      <c r="A108" s="137">
        <v>1200</v>
      </c>
      <c r="B108" s="140">
        <v>30000</v>
      </c>
      <c r="C108" s="141">
        <v>30000</v>
      </c>
      <c r="D108" s="62">
        <v>36000</v>
      </c>
      <c r="E108" s="62">
        <v>43200</v>
      </c>
      <c r="F108" s="3"/>
      <c r="G108" s="4" t="s">
        <v>434</v>
      </c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 spans="1:25" ht="15.75" customHeight="1">
      <c r="A109" s="137">
        <v>1400</v>
      </c>
      <c r="B109" s="140">
        <v>30000</v>
      </c>
      <c r="C109" s="62">
        <v>33600</v>
      </c>
      <c r="D109" s="62">
        <v>42000</v>
      </c>
      <c r="E109" s="62">
        <v>50400</v>
      </c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 spans="1:25" ht="15.75" customHeight="1">
      <c r="A110" s="137">
        <v>1600</v>
      </c>
      <c r="B110" s="140">
        <v>30000</v>
      </c>
      <c r="C110" s="62">
        <v>38400</v>
      </c>
      <c r="D110" s="62">
        <v>48000</v>
      </c>
      <c r="E110" s="62">
        <v>57600</v>
      </c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 spans="1:25" ht="15.75" customHeight="1">
      <c r="A111" s="137">
        <v>1800</v>
      </c>
      <c r="B111" s="143">
        <v>32400</v>
      </c>
      <c r="C111" s="62">
        <v>43200</v>
      </c>
      <c r="D111" s="62">
        <v>54000</v>
      </c>
      <c r="E111" s="62">
        <v>64800</v>
      </c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 spans="1:25" ht="15.75" customHeight="1">
      <c r="A112" s="137">
        <v>2000</v>
      </c>
      <c r="B112" s="143">
        <v>36000</v>
      </c>
      <c r="C112" s="62">
        <v>48000</v>
      </c>
      <c r="D112" s="62">
        <v>60000</v>
      </c>
      <c r="E112" s="62">
        <v>72000</v>
      </c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 spans="1:25" ht="15.75" customHeight="1">
      <c r="A113" s="137">
        <v>2200</v>
      </c>
      <c r="B113" s="143">
        <v>39600</v>
      </c>
      <c r="C113" s="62">
        <v>52800</v>
      </c>
      <c r="D113" s="62">
        <v>66000</v>
      </c>
      <c r="E113" s="62">
        <v>79200</v>
      </c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 spans="1:25" ht="15.75" customHeight="1">
      <c r="A114" s="137">
        <v>2400</v>
      </c>
      <c r="B114" s="143">
        <v>43200</v>
      </c>
      <c r="C114" s="62">
        <v>57600</v>
      </c>
      <c r="D114" s="62">
        <v>72000</v>
      </c>
      <c r="E114" s="62">
        <v>86400</v>
      </c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 spans="1:25" ht="15.75" customHeight="1">
      <c r="A115" s="137">
        <v>2600</v>
      </c>
      <c r="B115" s="143">
        <v>46800</v>
      </c>
      <c r="C115" s="62">
        <v>62400</v>
      </c>
      <c r="D115" s="62">
        <v>78000</v>
      </c>
      <c r="E115" s="62">
        <v>93600</v>
      </c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 spans="1:25" ht="15.75" customHeight="1">
      <c r="A116" s="137">
        <v>2800</v>
      </c>
      <c r="B116" s="143">
        <v>50400</v>
      </c>
      <c r="C116" s="62">
        <v>67200</v>
      </c>
      <c r="D116" s="62">
        <v>84000</v>
      </c>
      <c r="E116" s="62">
        <v>100800</v>
      </c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 spans="1:25" ht="15.75" customHeight="1">
      <c r="A117" s="137">
        <v>3000</v>
      </c>
      <c r="B117" s="143">
        <v>54000</v>
      </c>
      <c r="C117" s="62">
        <v>72000</v>
      </c>
      <c r="D117" s="62">
        <v>90000</v>
      </c>
      <c r="E117" s="62">
        <v>108000</v>
      </c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 spans="1:25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 spans="1:25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 spans="1:25" ht="15.75" customHeight="1">
      <c r="A120" s="134" t="s">
        <v>447</v>
      </c>
      <c r="B120" s="133"/>
      <c r="C120" s="13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 spans="1:25" ht="15.75" customHeight="1">
      <c r="A121" s="136"/>
      <c r="B121" s="137">
        <v>600</v>
      </c>
      <c r="C121" s="137">
        <v>800</v>
      </c>
      <c r="D121" s="137">
        <v>1000</v>
      </c>
      <c r="E121" s="137">
        <v>1200</v>
      </c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 spans="1:25" ht="15.75" customHeight="1">
      <c r="A122" s="137">
        <v>600</v>
      </c>
      <c r="B122" s="138">
        <v>19000</v>
      </c>
      <c r="C122" s="139">
        <v>19000</v>
      </c>
      <c r="D122" s="139">
        <v>35000</v>
      </c>
      <c r="E122" s="139">
        <v>35000</v>
      </c>
      <c r="F122" s="3"/>
      <c r="G122" s="4" t="s">
        <v>448</v>
      </c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 spans="1:25" ht="15.75" customHeight="1">
      <c r="A123" s="137">
        <v>800</v>
      </c>
      <c r="B123" s="140">
        <v>19000</v>
      </c>
      <c r="C123" s="141">
        <v>35000</v>
      </c>
      <c r="D123" s="141">
        <v>35000</v>
      </c>
      <c r="E123" s="141">
        <v>35000</v>
      </c>
      <c r="F123" s="3"/>
      <c r="G123" s="4" t="s">
        <v>449</v>
      </c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 spans="1:25" ht="15.75" customHeight="1">
      <c r="A124" s="137">
        <v>1000</v>
      </c>
      <c r="B124" s="140">
        <v>35000</v>
      </c>
      <c r="C124" s="141">
        <v>35000</v>
      </c>
      <c r="D124" s="142">
        <v>35000</v>
      </c>
      <c r="E124" s="62">
        <v>42000</v>
      </c>
      <c r="F124" s="3"/>
      <c r="G124" s="4" t="s">
        <v>450</v>
      </c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 spans="1:25" ht="15.75" customHeight="1">
      <c r="A125" s="137">
        <v>1200</v>
      </c>
      <c r="B125" s="140">
        <v>35000</v>
      </c>
      <c r="C125" s="141">
        <v>35000</v>
      </c>
      <c r="D125" s="62">
        <v>42000</v>
      </c>
      <c r="E125" s="62">
        <v>50400</v>
      </c>
      <c r="F125" s="3"/>
      <c r="G125" s="4" t="s">
        <v>434</v>
      </c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 spans="1:25" ht="15.75" customHeight="1">
      <c r="A126" s="137">
        <v>1400</v>
      </c>
      <c r="B126" s="140">
        <v>35000</v>
      </c>
      <c r="C126" s="62">
        <v>39200</v>
      </c>
      <c r="D126" s="62">
        <v>49000</v>
      </c>
      <c r="E126" s="62">
        <v>58800</v>
      </c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 spans="1:25" ht="15.75" customHeight="1">
      <c r="A127" s="137">
        <v>1600</v>
      </c>
      <c r="B127" s="140">
        <v>35000</v>
      </c>
      <c r="C127" s="62">
        <v>44800</v>
      </c>
      <c r="D127" s="62">
        <v>56000</v>
      </c>
      <c r="E127" s="62">
        <v>67200</v>
      </c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 spans="1:25" ht="15.75" customHeight="1">
      <c r="A128" s="137">
        <v>1800</v>
      </c>
      <c r="B128" s="143">
        <v>37800</v>
      </c>
      <c r="C128" s="62">
        <v>50400</v>
      </c>
      <c r="D128" s="62">
        <v>63000</v>
      </c>
      <c r="E128" s="62">
        <v>75600</v>
      </c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 spans="1:25" ht="15.75" customHeight="1">
      <c r="A129" s="137">
        <v>2000</v>
      </c>
      <c r="B129" s="143">
        <v>42000</v>
      </c>
      <c r="C129" s="62">
        <v>56000</v>
      </c>
      <c r="D129" s="62">
        <v>70000</v>
      </c>
      <c r="E129" s="62">
        <v>84000</v>
      </c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 spans="1:25" ht="15.75" customHeight="1">
      <c r="A130" s="137">
        <v>2200</v>
      </c>
      <c r="B130" s="143">
        <v>46200</v>
      </c>
      <c r="C130" s="62">
        <v>61600</v>
      </c>
      <c r="D130" s="62">
        <v>77000</v>
      </c>
      <c r="E130" s="62">
        <v>92400</v>
      </c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 spans="1:25" ht="15.75" customHeight="1">
      <c r="A131" s="137">
        <v>2400</v>
      </c>
      <c r="B131" s="143">
        <v>50400</v>
      </c>
      <c r="C131" s="62">
        <v>67200</v>
      </c>
      <c r="D131" s="62">
        <v>84000</v>
      </c>
      <c r="E131" s="62">
        <v>100800</v>
      </c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 spans="1:25" ht="15.75" customHeight="1">
      <c r="A132" s="137">
        <v>2600</v>
      </c>
      <c r="B132" s="143">
        <v>54600</v>
      </c>
      <c r="C132" s="62">
        <v>72800</v>
      </c>
      <c r="D132" s="62">
        <v>91000</v>
      </c>
      <c r="E132" s="62">
        <v>109200</v>
      </c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 spans="1:25" ht="15.75" customHeight="1">
      <c r="A133" s="137">
        <v>2800</v>
      </c>
      <c r="B133" s="143">
        <v>58800</v>
      </c>
      <c r="C133" s="62">
        <v>78400</v>
      </c>
      <c r="D133" s="62">
        <v>98000</v>
      </c>
      <c r="E133" s="62">
        <v>117600</v>
      </c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 spans="1:25" ht="15.75" customHeight="1">
      <c r="A134" s="137">
        <v>3000</v>
      </c>
      <c r="B134" s="143">
        <v>63000</v>
      </c>
      <c r="C134" s="62">
        <v>84000</v>
      </c>
      <c r="D134" s="62">
        <v>105000</v>
      </c>
      <c r="E134" s="62">
        <v>126000</v>
      </c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 spans="1:2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 spans="1:25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 spans="1:25" ht="15.75" customHeight="1">
      <c r="A137" s="134" t="s">
        <v>451</v>
      </c>
      <c r="B137" s="133"/>
      <c r="C137" s="13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 spans="1:25" ht="15.75" customHeight="1">
      <c r="A138" s="136"/>
      <c r="B138" s="137">
        <v>600</v>
      </c>
      <c r="C138" s="137">
        <v>800</v>
      </c>
      <c r="D138" s="137">
        <v>1000</v>
      </c>
      <c r="E138" s="137">
        <v>1200</v>
      </c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 spans="1:25" ht="15.75" customHeight="1">
      <c r="A139" s="137">
        <v>600</v>
      </c>
      <c r="B139" s="138">
        <v>19000</v>
      </c>
      <c r="C139" s="139">
        <v>19000</v>
      </c>
      <c r="D139" s="139">
        <v>35000</v>
      </c>
      <c r="E139" s="139">
        <v>35000</v>
      </c>
      <c r="F139" s="3"/>
      <c r="G139" s="4" t="s">
        <v>444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 spans="1:25" ht="15.75" customHeight="1">
      <c r="A140" s="137">
        <v>800</v>
      </c>
      <c r="B140" s="140">
        <v>19000</v>
      </c>
      <c r="C140" s="141">
        <v>35000</v>
      </c>
      <c r="D140" s="141">
        <v>35000</v>
      </c>
      <c r="E140" s="141">
        <v>35000</v>
      </c>
      <c r="F140" s="3"/>
      <c r="G140" s="4" t="s">
        <v>445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 spans="1:25" ht="15.75" customHeight="1">
      <c r="A141" s="137">
        <v>1000</v>
      </c>
      <c r="B141" s="140">
        <v>35000</v>
      </c>
      <c r="C141" s="141">
        <v>35000</v>
      </c>
      <c r="D141" s="142">
        <v>35000</v>
      </c>
      <c r="E141" s="62">
        <v>42000</v>
      </c>
      <c r="F141" s="3"/>
      <c r="G141" s="4" t="s">
        <v>446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 spans="1:25" ht="15.75" customHeight="1">
      <c r="A142" s="137">
        <v>1200</v>
      </c>
      <c r="B142" s="140">
        <v>35000</v>
      </c>
      <c r="C142" s="141">
        <v>35000</v>
      </c>
      <c r="D142" s="62">
        <v>42000</v>
      </c>
      <c r="E142" s="62">
        <v>50400</v>
      </c>
      <c r="F142" s="3"/>
      <c r="G142" s="4" t="s">
        <v>434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 spans="1:25" ht="15.75" customHeight="1">
      <c r="A143" s="137">
        <v>1400</v>
      </c>
      <c r="B143" s="140">
        <v>35000</v>
      </c>
      <c r="C143" s="62">
        <v>39200</v>
      </c>
      <c r="D143" s="62">
        <v>49000</v>
      </c>
      <c r="E143" s="62">
        <v>58800</v>
      </c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 spans="1:25" ht="15.75" customHeight="1">
      <c r="A144" s="137">
        <v>1600</v>
      </c>
      <c r="B144" s="140">
        <v>35000</v>
      </c>
      <c r="C144" s="62">
        <v>44800</v>
      </c>
      <c r="D144" s="62">
        <v>56000</v>
      </c>
      <c r="E144" s="62">
        <v>67200</v>
      </c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 spans="1:25" ht="15.75" customHeight="1">
      <c r="A145" s="137">
        <v>1800</v>
      </c>
      <c r="B145" s="143">
        <v>37800</v>
      </c>
      <c r="C145" s="62">
        <v>50400</v>
      </c>
      <c r="D145" s="62">
        <v>63000</v>
      </c>
      <c r="E145" s="62">
        <v>75600</v>
      </c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 spans="1:25" ht="15.75" customHeight="1">
      <c r="A146" s="137">
        <v>2000</v>
      </c>
      <c r="B146" s="143">
        <v>42000</v>
      </c>
      <c r="C146" s="62">
        <v>56000</v>
      </c>
      <c r="D146" s="62">
        <v>70000</v>
      </c>
      <c r="E146" s="62">
        <v>84000</v>
      </c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 spans="1:25" ht="15.75" customHeight="1">
      <c r="A147" s="137">
        <v>2200</v>
      </c>
      <c r="B147" s="143">
        <v>46200</v>
      </c>
      <c r="C147" s="62">
        <v>61600</v>
      </c>
      <c r="D147" s="62">
        <v>77000</v>
      </c>
      <c r="E147" s="62">
        <v>92400</v>
      </c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 spans="1:25" ht="15.75" customHeight="1">
      <c r="A148" s="137">
        <v>2400</v>
      </c>
      <c r="B148" s="143">
        <v>50400</v>
      </c>
      <c r="C148" s="62">
        <v>67200</v>
      </c>
      <c r="D148" s="62">
        <v>84000</v>
      </c>
      <c r="E148" s="62">
        <v>100800</v>
      </c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 spans="1:25" ht="15.75" customHeight="1">
      <c r="A149" s="137">
        <v>2600</v>
      </c>
      <c r="B149" s="143">
        <v>54600</v>
      </c>
      <c r="C149" s="62">
        <v>72800</v>
      </c>
      <c r="D149" s="62">
        <v>91000</v>
      </c>
      <c r="E149" s="62">
        <v>109200</v>
      </c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 spans="1:25" ht="15.75" customHeight="1">
      <c r="A150" s="137">
        <v>2800</v>
      </c>
      <c r="B150" s="143">
        <v>58800</v>
      </c>
      <c r="C150" s="62">
        <v>78400</v>
      </c>
      <c r="D150" s="62">
        <v>98000</v>
      </c>
      <c r="E150" s="62">
        <v>117600</v>
      </c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 spans="1:25" ht="15.75" customHeight="1">
      <c r="A151" s="137">
        <v>3000</v>
      </c>
      <c r="B151" s="143">
        <v>63000</v>
      </c>
      <c r="C151" s="62">
        <v>84000</v>
      </c>
      <c r="D151" s="62">
        <v>105000</v>
      </c>
      <c r="E151" s="62">
        <v>126000</v>
      </c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 spans="1:25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 spans="1:25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 spans="1:25" ht="15.75" customHeight="1">
      <c r="A154" s="4" t="s">
        <v>452</v>
      </c>
      <c r="B154" s="4"/>
      <c r="C154" s="4"/>
      <c r="D154" s="4"/>
      <c r="E154" s="4"/>
      <c r="F154" s="4"/>
      <c r="G154" s="4"/>
      <c r="H154" s="4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 spans="1:25" ht="15.75" customHeight="1">
      <c r="A155" s="4"/>
      <c r="B155" s="4" t="s">
        <v>453</v>
      </c>
      <c r="C155" s="4" t="s">
        <v>454</v>
      </c>
      <c r="D155" s="4" t="s">
        <v>455</v>
      </c>
      <c r="E155" s="4" t="s">
        <v>456</v>
      </c>
      <c r="F155" s="4" t="s">
        <v>457</v>
      </c>
      <c r="G155" s="4" t="s">
        <v>458</v>
      </c>
      <c r="H155" s="4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 spans="1:25" ht="15.75" customHeight="1">
      <c r="A156" s="16">
        <v>1</v>
      </c>
      <c r="B156" s="147">
        <v>7000</v>
      </c>
      <c r="C156" s="147">
        <v>12000</v>
      </c>
      <c r="D156" s="147">
        <v>20000</v>
      </c>
      <c r="E156" s="147">
        <v>8500</v>
      </c>
      <c r="F156" s="147">
        <v>14000</v>
      </c>
      <c r="G156" s="147">
        <v>24000</v>
      </c>
      <c r="H156" s="4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 spans="1:25" ht="15.75" customHeight="1">
      <c r="A157" s="4"/>
      <c r="B157" s="4"/>
      <c r="C157" s="4"/>
      <c r="D157" s="4"/>
      <c r="E157" s="4"/>
      <c r="F157" s="4"/>
      <c r="G157" s="4"/>
      <c r="H157" s="4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 spans="1:25" ht="15.75" customHeight="1">
      <c r="A158" s="4"/>
      <c r="B158" s="4"/>
      <c r="C158" s="4"/>
      <c r="D158" s="4"/>
      <c r="E158" s="4"/>
      <c r="F158" s="4"/>
      <c r="G158" s="4"/>
      <c r="H158" s="4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 spans="1:25" ht="15.75" customHeight="1">
      <c r="A159" s="4" t="s">
        <v>459</v>
      </c>
      <c r="B159" s="4"/>
      <c r="C159" s="4"/>
      <c r="D159" s="4"/>
      <c r="E159" s="4"/>
      <c r="F159" s="4"/>
      <c r="G159" s="4"/>
      <c r="H159" s="4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 spans="1:25" ht="15.75" customHeight="1">
      <c r="A160" s="4"/>
      <c r="B160" s="4" t="s">
        <v>460</v>
      </c>
      <c r="C160" s="4" t="s">
        <v>461</v>
      </c>
      <c r="D160" s="4" t="s">
        <v>462</v>
      </c>
      <c r="E160" s="4" t="s">
        <v>463</v>
      </c>
      <c r="F160" s="4" t="s">
        <v>464</v>
      </c>
      <c r="G160" s="4" t="s">
        <v>465</v>
      </c>
      <c r="H160" s="4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 spans="1:25" ht="15.75" customHeight="1">
      <c r="A161" s="16">
        <v>1</v>
      </c>
      <c r="B161" s="147">
        <v>8500</v>
      </c>
      <c r="C161" s="147">
        <v>13000</v>
      </c>
      <c r="D161" s="147">
        <v>23000</v>
      </c>
      <c r="E161" s="147">
        <v>10000</v>
      </c>
      <c r="F161" s="147">
        <v>16000</v>
      </c>
      <c r="G161" s="147">
        <v>30000</v>
      </c>
      <c r="H161" s="4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 spans="1:25" ht="15.75" customHeight="1">
      <c r="A162" s="4"/>
      <c r="B162" s="4"/>
      <c r="C162" s="4"/>
      <c r="D162" s="4"/>
      <c r="E162" s="4"/>
      <c r="F162" s="4"/>
      <c r="G162" s="4"/>
      <c r="H162" s="4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 spans="1:25" ht="15.75" customHeight="1">
      <c r="A163" s="4"/>
      <c r="B163" s="4"/>
      <c r="C163" s="4"/>
      <c r="D163" s="4"/>
      <c r="E163" s="4"/>
      <c r="F163" s="4"/>
      <c r="G163" s="4"/>
      <c r="H163" s="4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 spans="1:25" ht="15.75" customHeight="1">
      <c r="A164" s="4" t="s">
        <v>466</v>
      </c>
      <c r="B164" s="4"/>
      <c r="C164" s="4"/>
      <c r="D164" s="4"/>
      <c r="E164" s="4"/>
      <c r="F164" s="4"/>
      <c r="G164" s="4"/>
      <c r="H164" s="4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 spans="1:25" ht="15.75" customHeight="1">
      <c r="A165" s="4"/>
      <c r="B165" s="4" t="s">
        <v>8</v>
      </c>
      <c r="C165" s="4" t="s">
        <v>321</v>
      </c>
      <c r="D165" s="4" t="s">
        <v>467</v>
      </c>
      <c r="E165" s="4"/>
      <c r="F165" s="4"/>
      <c r="G165" s="4"/>
      <c r="H165" s="4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 spans="1:25" ht="15.75" customHeight="1">
      <c r="A166" s="16">
        <v>1</v>
      </c>
      <c r="B166" s="147">
        <v>16000</v>
      </c>
      <c r="C166" s="147">
        <v>23000</v>
      </c>
      <c r="D166" s="147">
        <v>35000</v>
      </c>
      <c r="E166" s="4"/>
      <c r="F166" s="4"/>
      <c r="G166" s="4"/>
      <c r="H166" s="4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 spans="1:25" ht="15.75" customHeight="1">
      <c r="A167" s="4"/>
      <c r="B167" s="4"/>
      <c r="C167" s="4"/>
      <c r="D167" s="4"/>
      <c r="E167" s="4"/>
      <c r="F167" s="4"/>
      <c r="G167" s="4"/>
      <c r="H167" s="4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 spans="1:25" ht="15.75" customHeight="1">
      <c r="A168" s="4"/>
      <c r="B168" s="4"/>
      <c r="C168" s="4"/>
      <c r="D168" s="4"/>
      <c r="E168" s="4"/>
      <c r="F168" s="4"/>
      <c r="G168" s="4"/>
      <c r="H168" s="4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 spans="1:25" ht="15.75" customHeight="1">
      <c r="A169" s="4" t="s">
        <v>468</v>
      </c>
      <c r="B169" s="4"/>
      <c r="C169" s="4"/>
      <c r="D169" s="4"/>
      <c r="E169" s="4"/>
      <c r="F169" s="4"/>
      <c r="G169" s="4"/>
      <c r="H169" s="4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 spans="1:25" ht="15.75" customHeight="1">
      <c r="A170" s="4"/>
      <c r="B170" s="4" t="s">
        <v>469</v>
      </c>
      <c r="C170" s="4" t="s">
        <v>470</v>
      </c>
      <c r="D170" s="4" t="s">
        <v>471</v>
      </c>
      <c r="E170" s="4" t="s">
        <v>472</v>
      </c>
      <c r="F170" s="4" t="s">
        <v>56</v>
      </c>
      <c r="G170" s="4" t="s">
        <v>8</v>
      </c>
      <c r="H170" s="4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 spans="1:25" ht="15.75" customHeight="1">
      <c r="A171" s="16">
        <v>1</v>
      </c>
      <c r="B171" s="39">
        <v>9000</v>
      </c>
      <c r="C171" s="147">
        <v>10000</v>
      </c>
      <c r="D171" s="39">
        <v>11000</v>
      </c>
      <c r="E171" s="147">
        <v>13000</v>
      </c>
      <c r="F171" s="147">
        <v>16000</v>
      </c>
      <c r="G171" s="147">
        <v>21000</v>
      </c>
      <c r="H171" s="148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 spans="1:25" ht="15.75" customHeight="1">
      <c r="A172" s="4"/>
      <c r="B172" s="4"/>
      <c r="C172" s="4"/>
      <c r="D172" s="4"/>
      <c r="E172" s="4"/>
      <c r="F172" s="4"/>
      <c r="G172" s="4"/>
      <c r="H172" s="4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 spans="1:25" ht="15.75" customHeight="1">
      <c r="A173" s="4"/>
      <c r="B173" s="4"/>
      <c r="C173" s="4"/>
      <c r="D173" s="4"/>
      <c r="E173" s="4"/>
      <c r="F173" s="4"/>
      <c r="G173" s="4"/>
      <c r="H173" s="4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 spans="1:25" ht="15.75" customHeight="1">
      <c r="A174" s="4"/>
      <c r="B174" s="4"/>
      <c r="C174" s="4"/>
      <c r="D174" s="4"/>
      <c r="E174" s="4"/>
      <c r="F174" s="4"/>
      <c r="G174" s="4"/>
      <c r="H174" s="4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 spans="1:25" ht="15.75" customHeight="1">
      <c r="A175" s="4"/>
      <c r="B175" s="4"/>
      <c r="C175" s="4"/>
      <c r="D175" s="4"/>
      <c r="E175" s="4"/>
      <c r="F175" s="4"/>
      <c r="G175" s="4"/>
      <c r="H175" s="4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 spans="1:25" ht="15.75" customHeight="1">
      <c r="A176" s="4"/>
      <c r="B176" s="4"/>
      <c r="C176" s="4"/>
      <c r="D176" s="4"/>
      <c r="E176" s="4"/>
      <c r="F176" s="4"/>
      <c r="G176" s="4"/>
      <c r="H176" s="4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 spans="1:25" ht="15.75" customHeight="1">
      <c r="A177" s="4" t="s">
        <v>473</v>
      </c>
      <c r="B177" s="4"/>
      <c r="C177" s="4"/>
      <c r="D177" s="4"/>
      <c r="E177" s="4"/>
      <c r="F177" s="4"/>
      <c r="G177" s="4"/>
      <c r="H177" s="4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 spans="1:25" ht="15.75" customHeight="1">
      <c r="A178" s="4" t="s">
        <v>436</v>
      </c>
      <c r="B178" s="4" t="s">
        <v>8</v>
      </c>
      <c r="C178" s="4" t="s">
        <v>321</v>
      </c>
      <c r="D178" s="4" t="s">
        <v>467</v>
      </c>
      <c r="E178" s="4" t="s">
        <v>474</v>
      </c>
      <c r="F178" s="4" t="s">
        <v>475</v>
      </c>
      <c r="G178" s="4" t="s">
        <v>476</v>
      </c>
      <c r="H178" s="4" t="s">
        <v>477</v>
      </c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 spans="1:25" ht="15.75" customHeight="1">
      <c r="A179" s="16">
        <v>1</v>
      </c>
      <c r="B179" s="16">
        <v>13000</v>
      </c>
      <c r="C179" s="16">
        <v>15000</v>
      </c>
      <c r="D179" s="16">
        <v>22000</v>
      </c>
      <c r="E179" s="16">
        <v>15000</v>
      </c>
      <c r="F179" s="16">
        <v>32000</v>
      </c>
      <c r="G179" s="4"/>
      <c r="H179" s="149">
        <v>6500</v>
      </c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 spans="1:25" ht="15.75" customHeight="1">
      <c r="A180" s="4"/>
      <c r="B180" s="4"/>
      <c r="C180" s="4"/>
      <c r="D180" s="4"/>
      <c r="E180" s="4"/>
      <c r="F180" s="4"/>
      <c r="G180" s="4"/>
      <c r="H180" s="4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 spans="1:25" ht="15.75" customHeight="1">
      <c r="A181" s="4"/>
      <c r="B181" s="4"/>
      <c r="C181" s="4"/>
      <c r="D181" s="4"/>
      <c r="E181" s="4"/>
      <c r="F181" s="4"/>
      <c r="G181" s="4"/>
      <c r="H181" s="4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 spans="1:25" ht="15.75" customHeight="1">
      <c r="A182" s="4"/>
      <c r="B182" s="4"/>
      <c r="C182" s="4"/>
      <c r="D182" s="4"/>
      <c r="E182" s="4"/>
      <c r="F182" s="4"/>
      <c r="G182" s="4"/>
      <c r="H182" s="4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 spans="1:25" ht="15.75" customHeight="1">
      <c r="A183" s="4"/>
      <c r="B183" s="4"/>
      <c r="C183" s="4"/>
      <c r="D183" s="4"/>
      <c r="E183" s="4"/>
      <c r="F183" s="4"/>
      <c r="G183" s="4"/>
      <c r="H183" s="4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 spans="1:25" ht="15.75" customHeight="1">
      <c r="A184" s="4" t="s">
        <v>478</v>
      </c>
      <c r="B184" s="4"/>
      <c r="C184" s="4"/>
      <c r="D184" s="4"/>
      <c r="E184" s="4"/>
      <c r="F184" s="4"/>
      <c r="G184" s="4"/>
      <c r="H184" s="4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 spans="1:25" ht="15.75" customHeight="1">
      <c r="A185" s="4" t="s">
        <v>479</v>
      </c>
      <c r="B185" s="4" t="s">
        <v>8</v>
      </c>
      <c r="C185" s="4" t="s">
        <v>321</v>
      </c>
      <c r="D185" s="4" t="s">
        <v>467</v>
      </c>
      <c r="E185" s="4" t="s">
        <v>480</v>
      </c>
      <c r="F185" s="4" t="s">
        <v>481</v>
      </c>
      <c r="G185" s="4" t="s">
        <v>482</v>
      </c>
      <c r="H185" s="4" t="s">
        <v>483</v>
      </c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 spans="1:25" ht="15.75" customHeight="1">
      <c r="A186" s="16">
        <v>1</v>
      </c>
      <c r="B186" s="150">
        <v>6000</v>
      </c>
      <c r="C186" s="150">
        <v>10500</v>
      </c>
      <c r="D186" s="150">
        <v>20000</v>
      </c>
      <c r="E186" s="4"/>
      <c r="F186" s="149">
        <v>16000</v>
      </c>
      <c r="G186" s="149">
        <v>18000</v>
      </c>
      <c r="H186" s="149">
        <v>20000</v>
      </c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 spans="1:25" ht="15.75" customHeight="1">
      <c r="A187" s="4"/>
      <c r="B187" s="4"/>
      <c r="C187" s="4"/>
      <c r="D187" s="4"/>
      <c r="E187" s="4"/>
      <c r="F187" s="4"/>
      <c r="G187" s="4"/>
      <c r="H187" s="4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 spans="1:25" ht="15.75" customHeight="1">
      <c r="A188" s="4"/>
      <c r="B188" s="4"/>
      <c r="C188" s="4"/>
      <c r="D188" s="4"/>
      <c r="E188" s="4"/>
      <c r="F188" s="4"/>
      <c r="G188" s="4"/>
      <c r="H188" s="4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 spans="1:25" ht="15.75" customHeight="1">
      <c r="A189" s="4"/>
      <c r="B189" s="4"/>
      <c r="C189" s="4"/>
      <c r="D189" s="4"/>
      <c r="E189" s="4"/>
      <c r="F189" s="4"/>
      <c r="G189" s="4"/>
      <c r="H189" s="4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 spans="1:25" ht="15.75" customHeight="1">
      <c r="A190" s="4"/>
      <c r="B190" s="4"/>
      <c r="C190" s="4"/>
      <c r="D190" s="4"/>
      <c r="E190" s="4"/>
      <c r="F190" s="4"/>
      <c r="G190" s="4"/>
      <c r="H190" s="4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 spans="1:25" ht="15.75" customHeight="1">
      <c r="A191" s="4" t="s">
        <v>484</v>
      </c>
      <c r="B191" s="4"/>
      <c r="C191" s="4"/>
      <c r="D191" s="4"/>
      <c r="E191" s="4"/>
      <c r="F191" s="4"/>
      <c r="G191" s="4"/>
      <c r="H191" s="4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 spans="1:25" ht="15.75" customHeight="1">
      <c r="A192" s="4" t="s">
        <v>485</v>
      </c>
      <c r="B192" s="4" t="s">
        <v>8</v>
      </c>
      <c r="C192" s="4" t="s">
        <v>321</v>
      </c>
      <c r="D192" s="4" t="s">
        <v>467</v>
      </c>
      <c r="E192" s="4" t="s">
        <v>486</v>
      </c>
      <c r="F192" s="4" t="s">
        <v>487</v>
      </c>
      <c r="G192" s="4" t="s">
        <v>488</v>
      </c>
      <c r="H192" s="4" t="s">
        <v>489</v>
      </c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 spans="1:25" ht="15.75" customHeight="1">
      <c r="A193" s="16">
        <v>1</v>
      </c>
      <c r="B193" s="150">
        <v>6000</v>
      </c>
      <c r="C193" s="150">
        <v>8200</v>
      </c>
      <c r="D193" s="150">
        <v>16000</v>
      </c>
      <c r="E193" s="4"/>
      <c r="F193" s="149">
        <v>7000</v>
      </c>
      <c r="G193" s="149">
        <v>9800</v>
      </c>
      <c r="H193" s="149">
        <v>12000</v>
      </c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 spans="1:25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 spans="1:2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 spans="1:25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 spans="1:25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 spans="1:25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 spans="1:25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 spans="1:25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 spans="1:25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 spans="1:25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 spans="1:25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 spans="1:25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 spans="1:2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 spans="1:25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 spans="1:25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 spans="1:25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 spans="1:25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 spans="1:25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 spans="1:25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 spans="1:25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 spans="1:25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 spans="1:25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 spans="1:2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 spans="1:25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 spans="1:25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 spans="1:25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 spans="1:25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 spans="1:25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 spans="1:25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 spans="1:25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 spans="1:25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 spans="1:25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 spans="1: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 spans="1:25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 spans="1:25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 spans="1:25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 spans="1:25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 spans="1:25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 spans="1:25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 spans="1:25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 spans="1:25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 spans="1:25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 spans="1:2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 spans="1:25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 spans="1:25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 spans="1:25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 spans="1:25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 spans="1:25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 spans="1:25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 spans="1:25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 spans="1:25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 spans="1:25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 spans="1:2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 spans="1:25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 spans="1:25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 spans="1:25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 spans="1:25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 spans="1:25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 spans="1:25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 spans="1:25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 spans="1:25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 spans="1:25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 spans="1:2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 spans="1:25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 spans="1:25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 spans="1:25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 spans="1:25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 spans="1:25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 spans="1:25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 spans="1:25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 spans="1:25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 spans="1:25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 spans="1:2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 spans="1:25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 spans="1:25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 spans="1:25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 spans="1:25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 spans="1:25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 spans="1:25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 spans="1:25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 spans="1:25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 spans="1:25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 spans="1:2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 spans="1:25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 spans="1:25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 spans="1:25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 spans="1:25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 spans="1:25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 spans="1:25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 spans="1:25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 spans="1:25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 spans="1:25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 spans="1:2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 spans="1:25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 spans="1:25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 spans="1:25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 spans="1:25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 spans="1:25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 spans="1:25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 spans="1:25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 spans="1:25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 spans="1:25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 spans="1:2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 spans="1:25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 spans="1:25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 spans="1:25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 spans="1:25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 spans="1:25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 spans="1:25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 spans="1:25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 spans="1:25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 spans="1:25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 spans="1:2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 spans="1:25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 spans="1:25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 spans="1:25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 spans="1:25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 spans="1:25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 spans="1:25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 spans="1:25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 spans="1:25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 spans="1:25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 spans="1:2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 spans="1:25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 spans="1:25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 spans="1:25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 spans="1:25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 spans="1:25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 spans="1:25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 spans="1:25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 spans="1:25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 spans="1:25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 spans="1: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 spans="1:25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 spans="1:25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 spans="1:25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 spans="1:25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 spans="1:25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 spans="1:25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 spans="1:25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 spans="1:25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 spans="1:25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 spans="1:2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 spans="1:25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 spans="1:25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 spans="1:25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 spans="1:25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 spans="1:25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 spans="1:25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 spans="1:25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 spans="1:25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 spans="1:25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 spans="1:2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 spans="1:25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 spans="1:25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 spans="1:25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 spans="1:25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 spans="1:25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 spans="1:25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 spans="1:25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 spans="1:25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 spans="1:25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 spans="1:2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 spans="1:25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 spans="1:25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 spans="1:25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 spans="1:25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 spans="1:25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 spans="1:25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 spans="1:25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 spans="1:25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 spans="1:25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 spans="1:2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 spans="1:25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 spans="1:25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 spans="1:25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 spans="1:25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 spans="1:25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 spans="1:25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 spans="1:25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 spans="1:25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 spans="1:25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 spans="1:2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 spans="1:25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 spans="1:25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 spans="1:25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 spans="1:25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 spans="1:25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 spans="1:25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 spans="1:25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 spans="1:25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 spans="1:25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 spans="1:2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 spans="1:25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 spans="1:25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 spans="1:25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 spans="1:25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 spans="1:25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 spans="1:25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 spans="1:25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 spans="1:25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 spans="1:25" ht="15.75" customHeight="1"/>
    <row r="395" spans="1:25" ht="15.75" customHeight="1"/>
    <row r="396" spans="1:25" ht="15.75" customHeight="1"/>
    <row r="397" spans="1:25" ht="15.75" customHeight="1"/>
    <row r="398" spans="1:25" ht="15.75" customHeight="1"/>
    <row r="399" spans="1:25" ht="15.75" customHeight="1"/>
    <row r="400" spans="1:25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37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L1000"/>
  <sheetViews>
    <sheetView workbookViewId="0"/>
  </sheetViews>
  <sheetFormatPr defaultColWidth="12.5703125" defaultRowHeight="15" customHeight="1"/>
  <cols>
    <col min="1" max="6" width="12.5703125" customWidth="1"/>
    <col min="11" max="11" width="13.85546875" customWidth="1"/>
    <col min="12" max="12" width="13.7109375" customWidth="1"/>
  </cols>
  <sheetData>
    <row r="1" spans="1:9" ht="15.75" customHeight="1">
      <c r="A1" s="12" t="s">
        <v>490</v>
      </c>
      <c r="B1" s="12" t="s">
        <v>491</v>
      </c>
      <c r="C1" s="12" t="s">
        <v>492</v>
      </c>
      <c r="D1" s="12" t="s">
        <v>493</v>
      </c>
      <c r="E1" s="12" t="s">
        <v>494</v>
      </c>
      <c r="F1" s="12" t="s">
        <v>495</v>
      </c>
      <c r="G1" s="55" t="s">
        <v>496</v>
      </c>
      <c r="H1" s="55" t="s">
        <v>497</v>
      </c>
    </row>
    <row r="2" spans="1:9" ht="15.75" customHeight="1">
      <c r="A2" s="8"/>
      <c r="G2" s="25"/>
      <c r="H2" s="25"/>
    </row>
    <row r="3" spans="1:9" ht="15.75" customHeight="1">
      <c r="A3" s="21">
        <v>1</v>
      </c>
      <c r="B3" s="21">
        <v>22000</v>
      </c>
      <c r="C3" s="21">
        <v>0</v>
      </c>
      <c r="D3" s="21">
        <v>0</v>
      </c>
      <c r="E3" s="25"/>
      <c r="F3" s="21">
        <v>12000</v>
      </c>
      <c r="G3" s="21">
        <v>23000</v>
      </c>
      <c r="H3" s="21">
        <v>25000</v>
      </c>
      <c r="I3" s="13"/>
    </row>
    <row r="4" spans="1:9" ht="15.75" customHeight="1">
      <c r="A4" s="21"/>
      <c r="B4" s="21"/>
      <c r="C4" s="25"/>
      <c r="D4" s="25"/>
      <c r="E4" s="25"/>
      <c r="F4" s="25"/>
      <c r="G4" s="25"/>
    </row>
    <row r="5" spans="1:9" ht="15.75" customHeight="1">
      <c r="A5" s="21"/>
      <c r="B5" s="21"/>
      <c r="C5" s="25"/>
      <c r="D5" s="25"/>
      <c r="E5" s="25"/>
      <c r="F5" s="25"/>
      <c r="G5" s="25"/>
    </row>
    <row r="6" spans="1:9" ht="15.75" customHeight="1"/>
    <row r="7" spans="1:9" ht="15.75" customHeight="1"/>
    <row r="8" spans="1:9" ht="15.75" customHeight="1"/>
    <row r="9" spans="1:9" ht="15.75" customHeight="1"/>
    <row r="10" spans="1:9" ht="15.75" customHeight="1"/>
    <row r="11" spans="1:9" ht="15.75" customHeight="1"/>
    <row r="12" spans="1:9" ht="15.75" customHeight="1"/>
    <row r="13" spans="1:9" ht="15.75" customHeight="1"/>
    <row r="14" spans="1:9" ht="15.75" customHeight="1"/>
    <row r="15" spans="1:9" ht="15.75" customHeight="1"/>
    <row r="16" spans="1:9" ht="15.75" customHeight="1"/>
    <row r="17" spans="1:12" ht="15.75" customHeight="1">
      <c r="A17" s="12" t="s">
        <v>498</v>
      </c>
      <c r="B17" s="12" t="s">
        <v>491</v>
      </c>
      <c r="C17" s="12" t="s">
        <v>492</v>
      </c>
      <c r="D17" s="12" t="s">
        <v>493</v>
      </c>
      <c r="E17" s="12" t="s">
        <v>494</v>
      </c>
      <c r="F17" s="12" t="s">
        <v>495</v>
      </c>
      <c r="G17" s="55" t="s">
        <v>496</v>
      </c>
      <c r="H17" s="55" t="s">
        <v>497</v>
      </c>
    </row>
    <row r="18" spans="1:12" ht="15.75" customHeight="1">
      <c r="A18" s="8"/>
      <c r="G18" s="25"/>
      <c r="H18" s="25"/>
    </row>
    <row r="19" spans="1:12" ht="15.75" customHeight="1">
      <c r="A19" s="21">
        <v>1</v>
      </c>
      <c r="B19" s="21">
        <v>22000</v>
      </c>
      <c r="C19" s="21">
        <v>0</v>
      </c>
      <c r="D19" s="21">
        <v>0</v>
      </c>
      <c r="E19" s="25"/>
      <c r="F19" s="21">
        <v>12000</v>
      </c>
      <c r="G19" s="21">
        <v>23000</v>
      </c>
      <c r="H19" s="21">
        <v>25000</v>
      </c>
      <c r="I19" s="13"/>
    </row>
    <row r="20" spans="1:12" ht="15.75" customHeight="1">
      <c r="A20" s="21"/>
      <c r="B20" s="21"/>
      <c r="C20" s="25"/>
      <c r="D20" s="25"/>
      <c r="E20" s="25"/>
      <c r="F20" s="25"/>
      <c r="G20" s="25"/>
    </row>
    <row r="21" spans="1:12" ht="15.75" customHeight="1">
      <c r="A21" s="21"/>
      <c r="B21" s="21"/>
      <c r="C21" s="25"/>
      <c r="D21" s="25"/>
      <c r="E21" s="25"/>
      <c r="F21" s="25"/>
      <c r="G21" s="25"/>
    </row>
    <row r="22" spans="1:12" ht="15.75" customHeight="1"/>
    <row r="23" spans="1:12" ht="15.75" customHeight="1"/>
    <row r="24" spans="1:12" ht="15.75" customHeight="1"/>
    <row r="25" spans="1:12" ht="15.75" customHeight="1"/>
    <row r="26" spans="1:12" ht="15.75" customHeight="1"/>
    <row r="27" spans="1:12" ht="15.75" customHeight="1"/>
    <row r="28" spans="1:12" ht="15.75" customHeight="1"/>
    <row r="29" spans="1:12" ht="15.75" customHeight="1"/>
    <row r="30" spans="1:12" ht="15.75" customHeight="1"/>
    <row r="31" spans="1:12" ht="15.75" customHeight="1">
      <c r="A31" s="151"/>
      <c r="B31" s="8"/>
    </row>
    <row r="32" spans="1:12" ht="15.75" customHeight="1">
      <c r="A32" s="151" t="s">
        <v>499</v>
      </c>
      <c r="B32" s="25" t="s">
        <v>106</v>
      </c>
      <c r="C32" s="13" t="s">
        <v>500</v>
      </c>
      <c r="D32" s="13" t="s">
        <v>501</v>
      </c>
      <c r="E32" s="13" t="s">
        <v>502</v>
      </c>
      <c r="F32" s="13" t="s">
        <v>503</v>
      </c>
      <c r="G32" s="13" t="s">
        <v>504</v>
      </c>
      <c r="H32" s="13" t="s">
        <v>505</v>
      </c>
      <c r="I32" s="13" t="s">
        <v>506</v>
      </c>
      <c r="J32" s="13" t="s">
        <v>507</v>
      </c>
      <c r="K32" s="13" t="s">
        <v>508</v>
      </c>
      <c r="L32" s="13" t="s">
        <v>509</v>
      </c>
    </row>
    <row r="33" spans="1:12" ht="15.75" customHeight="1">
      <c r="A33" s="8"/>
      <c r="C33" s="13">
        <v>3000</v>
      </c>
      <c r="D33" s="13">
        <v>3000</v>
      </c>
      <c r="E33" s="13">
        <v>4000</v>
      </c>
      <c r="F33" s="13">
        <v>5000</v>
      </c>
      <c r="G33" s="13">
        <v>3000</v>
      </c>
      <c r="H33" s="13">
        <v>4000</v>
      </c>
      <c r="I33" s="13">
        <v>3000</v>
      </c>
      <c r="J33" s="13">
        <v>3000</v>
      </c>
      <c r="K33" s="13">
        <v>4000</v>
      </c>
      <c r="L33" s="13">
        <v>8000</v>
      </c>
    </row>
    <row r="34" spans="1:12" ht="15.75" customHeight="1">
      <c r="B34" s="13">
        <v>0</v>
      </c>
    </row>
    <row r="35" spans="1:12" ht="15.75" customHeight="1"/>
    <row r="36" spans="1:12" ht="15.75" customHeight="1">
      <c r="A36" s="12" t="s">
        <v>510</v>
      </c>
      <c r="B36" s="8" t="s">
        <v>511</v>
      </c>
      <c r="G36" s="25" t="s">
        <v>512</v>
      </c>
    </row>
    <row r="37" spans="1:12" ht="15.75" customHeight="1">
      <c r="A37" s="8"/>
    </row>
    <row r="38" spans="1:12" ht="15.75" customHeight="1">
      <c r="A38" s="8"/>
      <c r="B38" s="21">
        <v>900</v>
      </c>
      <c r="C38" s="21">
        <v>1000</v>
      </c>
      <c r="D38" s="21">
        <v>1200</v>
      </c>
      <c r="E38" s="21">
        <v>1500</v>
      </c>
      <c r="F38" s="21">
        <v>1800</v>
      </c>
      <c r="G38" s="21">
        <v>2000</v>
      </c>
      <c r="H38" s="21">
        <v>3000</v>
      </c>
    </row>
    <row r="39" spans="1:12" ht="15.75" customHeight="1">
      <c r="A39" s="21">
        <v>900</v>
      </c>
      <c r="B39" s="26">
        <v>8000</v>
      </c>
      <c r="C39" s="26">
        <v>8000</v>
      </c>
      <c r="D39" s="152">
        <v>8640</v>
      </c>
      <c r="E39" s="152">
        <v>10800</v>
      </c>
      <c r="F39" s="152">
        <v>12960</v>
      </c>
      <c r="G39" s="152">
        <v>14400</v>
      </c>
      <c r="H39" s="152">
        <v>21600</v>
      </c>
    </row>
    <row r="40" spans="1:12" ht="15.75" customHeight="1">
      <c r="A40" s="21">
        <v>1000</v>
      </c>
      <c r="B40" s="26">
        <v>8000</v>
      </c>
      <c r="C40" s="26">
        <v>8000</v>
      </c>
      <c r="D40" s="152">
        <v>9600</v>
      </c>
      <c r="E40" s="152">
        <v>12000</v>
      </c>
      <c r="F40" s="152">
        <v>14400</v>
      </c>
      <c r="G40" s="152">
        <v>16000</v>
      </c>
      <c r="H40" s="152">
        <v>24000</v>
      </c>
    </row>
    <row r="41" spans="1:12" ht="15.75" customHeight="1">
      <c r="A41" s="21">
        <v>1200</v>
      </c>
      <c r="B41" s="152">
        <v>8640</v>
      </c>
      <c r="C41" s="152">
        <v>9600</v>
      </c>
      <c r="D41" s="152">
        <v>11520</v>
      </c>
      <c r="E41" s="152">
        <v>14400</v>
      </c>
      <c r="F41" s="152">
        <v>17280</v>
      </c>
      <c r="G41" s="152">
        <v>19200</v>
      </c>
      <c r="H41" s="152">
        <v>28800</v>
      </c>
    </row>
    <row r="42" spans="1:12" ht="15.75" customHeight="1">
      <c r="A42" s="21">
        <v>1400</v>
      </c>
      <c r="B42" s="152">
        <v>10080</v>
      </c>
      <c r="C42" s="152">
        <v>11200</v>
      </c>
      <c r="D42" s="152">
        <v>13440</v>
      </c>
      <c r="E42" s="152">
        <v>16800</v>
      </c>
      <c r="F42" s="152">
        <v>20160</v>
      </c>
      <c r="G42" s="152">
        <v>22400</v>
      </c>
      <c r="H42" s="152">
        <v>33600</v>
      </c>
    </row>
    <row r="43" spans="1:12" ht="15.75" customHeight="1">
      <c r="A43" s="21">
        <v>1600</v>
      </c>
      <c r="B43" s="152">
        <v>11520</v>
      </c>
      <c r="C43" s="152">
        <v>12800</v>
      </c>
      <c r="D43" s="152">
        <v>15360</v>
      </c>
      <c r="E43" s="152">
        <v>19200</v>
      </c>
      <c r="F43" s="152">
        <v>23040</v>
      </c>
      <c r="G43" s="152">
        <v>25600</v>
      </c>
      <c r="H43" s="152">
        <v>38400</v>
      </c>
    </row>
    <row r="44" spans="1:12" ht="15.75" customHeight="1">
      <c r="A44" s="21">
        <v>1800</v>
      </c>
      <c r="B44" s="152">
        <v>12960</v>
      </c>
      <c r="C44" s="152">
        <v>14400</v>
      </c>
      <c r="D44" s="152">
        <v>17280</v>
      </c>
      <c r="E44" s="152">
        <v>21600</v>
      </c>
      <c r="F44" s="152">
        <v>25920</v>
      </c>
      <c r="G44" s="152">
        <v>28800</v>
      </c>
      <c r="H44" s="152">
        <v>43200</v>
      </c>
    </row>
    <row r="45" spans="1:12" ht="15.75" customHeight="1">
      <c r="A45" s="21">
        <v>2000</v>
      </c>
      <c r="B45" s="152">
        <v>14400</v>
      </c>
      <c r="C45" s="152">
        <v>16000</v>
      </c>
      <c r="D45" s="152">
        <v>19200</v>
      </c>
      <c r="E45" s="152">
        <v>24000</v>
      </c>
      <c r="F45" s="152">
        <v>28800</v>
      </c>
      <c r="G45" s="152">
        <v>32000</v>
      </c>
      <c r="H45" s="152">
        <v>48000</v>
      </c>
    </row>
    <row r="46" spans="1:12" ht="15.75" customHeight="1">
      <c r="A46" s="21">
        <v>2200</v>
      </c>
      <c r="B46" s="152">
        <v>15840</v>
      </c>
      <c r="C46" s="152">
        <v>17600</v>
      </c>
      <c r="D46" s="152">
        <v>21120</v>
      </c>
      <c r="E46" s="152">
        <v>26400</v>
      </c>
      <c r="F46" s="152">
        <v>31680</v>
      </c>
      <c r="G46" s="152">
        <v>35200</v>
      </c>
      <c r="H46" s="152">
        <v>52800</v>
      </c>
    </row>
    <row r="47" spans="1:12" ht="15.75" customHeight="1">
      <c r="A47" s="21">
        <v>2400</v>
      </c>
      <c r="B47" s="152">
        <v>17280</v>
      </c>
      <c r="C47" s="152">
        <v>19200</v>
      </c>
      <c r="D47" s="152">
        <v>23040</v>
      </c>
      <c r="E47" s="152">
        <v>28800</v>
      </c>
      <c r="F47" s="152">
        <v>34560</v>
      </c>
      <c r="G47" s="152">
        <v>38400</v>
      </c>
      <c r="H47" s="152">
        <v>57600</v>
      </c>
    </row>
    <row r="48" spans="1:12" ht="15.75" customHeight="1">
      <c r="A48" s="21">
        <v>2600</v>
      </c>
      <c r="B48" s="152">
        <v>18720</v>
      </c>
      <c r="C48" s="152">
        <v>20800</v>
      </c>
      <c r="D48" s="152">
        <v>24960</v>
      </c>
      <c r="E48" s="152">
        <v>31200</v>
      </c>
      <c r="F48" s="152">
        <v>37440</v>
      </c>
      <c r="G48" s="152">
        <v>41600</v>
      </c>
      <c r="H48" s="152">
        <v>62400</v>
      </c>
    </row>
    <row r="49" spans="1:8" ht="15.75" customHeight="1">
      <c r="A49" s="21">
        <v>2800</v>
      </c>
      <c r="B49" s="152">
        <v>20160</v>
      </c>
      <c r="C49" s="152">
        <v>22400</v>
      </c>
      <c r="D49" s="152">
        <v>26880</v>
      </c>
      <c r="E49" s="152">
        <v>33600</v>
      </c>
      <c r="F49" s="152">
        <v>40320</v>
      </c>
      <c r="G49" s="152">
        <v>44800</v>
      </c>
      <c r="H49" s="152">
        <v>67200</v>
      </c>
    </row>
    <row r="50" spans="1:8" ht="15.75" customHeight="1">
      <c r="A50" s="21">
        <v>3000</v>
      </c>
      <c r="B50" s="152">
        <v>21600</v>
      </c>
      <c r="C50" s="152">
        <v>24000</v>
      </c>
      <c r="D50" s="152">
        <v>28800</v>
      </c>
      <c r="E50" s="152">
        <v>36000</v>
      </c>
      <c r="F50" s="152">
        <v>43200</v>
      </c>
      <c r="G50" s="152">
        <v>48000</v>
      </c>
      <c r="H50" s="152">
        <v>72000</v>
      </c>
    </row>
    <row r="51" spans="1:8" ht="15.75" customHeight="1">
      <c r="A51" s="21">
        <v>5000</v>
      </c>
      <c r="B51" s="152">
        <v>36000</v>
      </c>
      <c r="C51" s="152">
        <v>40000</v>
      </c>
      <c r="D51" s="152">
        <v>48000</v>
      </c>
      <c r="E51" s="152">
        <v>60000</v>
      </c>
      <c r="F51" s="152">
        <v>72000</v>
      </c>
      <c r="G51" s="152">
        <v>80000</v>
      </c>
      <c r="H51" s="152">
        <v>120000</v>
      </c>
    </row>
    <row r="52" spans="1:8" ht="15.75" customHeight="1">
      <c r="B52" s="8"/>
    </row>
    <row r="53" spans="1:8" ht="15.75" customHeight="1">
      <c r="A53" s="55" t="s">
        <v>513</v>
      </c>
      <c r="B53" s="198" t="s">
        <v>511</v>
      </c>
      <c r="C53" s="182"/>
      <c r="D53" s="182"/>
      <c r="E53" s="182"/>
    </row>
    <row r="54" spans="1:8" ht="15.75" customHeight="1">
      <c r="A54" s="8"/>
      <c r="B54" s="21">
        <v>900</v>
      </c>
      <c r="C54" s="21">
        <v>1000</v>
      </c>
      <c r="D54" s="21">
        <v>1200</v>
      </c>
      <c r="E54" s="21"/>
    </row>
    <row r="55" spans="1:8" ht="15.75" customHeight="1">
      <c r="A55" s="21">
        <v>900</v>
      </c>
      <c r="B55" s="138">
        <v>20000</v>
      </c>
      <c r="C55" s="139">
        <v>20000</v>
      </c>
      <c r="D55" s="153">
        <v>21600</v>
      </c>
      <c r="E55" s="25"/>
    </row>
    <row r="56" spans="1:8" ht="15.75" customHeight="1">
      <c r="A56" s="21">
        <v>1000</v>
      </c>
      <c r="B56" s="140">
        <v>20000</v>
      </c>
      <c r="C56" s="141">
        <v>20000</v>
      </c>
      <c r="D56" s="62">
        <v>24000</v>
      </c>
      <c r="E56" s="25"/>
    </row>
    <row r="57" spans="1:8" ht="15.75" customHeight="1">
      <c r="A57" s="21">
        <v>1200</v>
      </c>
      <c r="B57" s="143">
        <v>21600</v>
      </c>
      <c r="C57" s="62">
        <v>24000</v>
      </c>
      <c r="D57" s="62">
        <v>28800</v>
      </c>
    </row>
    <row r="58" spans="1:8" ht="15.75" customHeight="1">
      <c r="A58" s="21">
        <v>1400</v>
      </c>
      <c r="B58" s="143">
        <v>25200</v>
      </c>
      <c r="C58" s="62">
        <v>28000</v>
      </c>
      <c r="D58" s="62">
        <v>33600</v>
      </c>
    </row>
    <row r="59" spans="1:8" ht="15.75" customHeight="1">
      <c r="A59" s="21">
        <v>1600</v>
      </c>
      <c r="B59" s="143">
        <v>28800</v>
      </c>
      <c r="C59" s="62">
        <v>32000</v>
      </c>
      <c r="D59" s="62">
        <v>38400</v>
      </c>
    </row>
    <row r="60" spans="1:8" ht="15.75" customHeight="1">
      <c r="A60" s="21">
        <v>1800</v>
      </c>
      <c r="B60" s="143">
        <v>32400</v>
      </c>
      <c r="C60" s="62">
        <v>36000</v>
      </c>
      <c r="D60" s="62">
        <v>43200</v>
      </c>
    </row>
    <row r="61" spans="1:8" ht="15.75" customHeight="1">
      <c r="A61" s="21">
        <v>2000</v>
      </c>
      <c r="B61" s="143">
        <v>36000</v>
      </c>
      <c r="C61" s="62">
        <v>40000</v>
      </c>
      <c r="D61" s="62">
        <v>48000</v>
      </c>
    </row>
    <row r="62" spans="1:8" ht="15.75" customHeight="1">
      <c r="A62" s="21">
        <v>2200</v>
      </c>
      <c r="B62" s="143">
        <v>39600</v>
      </c>
      <c r="C62" s="62">
        <v>44000</v>
      </c>
      <c r="D62" s="62">
        <v>52800</v>
      </c>
    </row>
    <row r="63" spans="1:8" ht="15.75" customHeight="1">
      <c r="A63" s="21">
        <v>2400</v>
      </c>
      <c r="B63" s="143">
        <v>43200</v>
      </c>
      <c r="C63" s="62">
        <v>48000</v>
      </c>
      <c r="D63" s="62">
        <v>57600</v>
      </c>
    </row>
    <row r="64" spans="1:8" ht="15.75" customHeight="1">
      <c r="A64" s="21">
        <v>2600</v>
      </c>
      <c r="B64" s="143">
        <v>46800</v>
      </c>
      <c r="C64" s="62">
        <v>52000</v>
      </c>
      <c r="D64" s="62">
        <v>62400</v>
      </c>
    </row>
    <row r="65" spans="1:6" ht="15.75" customHeight="1">
      <c r="A65" s="21">
        <v>2800</v>
      </c>
      <c r="B65" s="143">
        <v>50400</v>
      </c>
      <c r="C65" s="62">
        <v>56000</v>
      </c>
      <c r="D65" s="62">
        <v>67200</v>
      </c>
    </row>
    <row r="66" spans="1:6" ht="15.75" customHeight="1">
      <c r="A66" s="21">
        <v>3000</v>
      </c>
      <c r="B66" s="143">
        <v>54000</v>
      </c>
      <c r="C66" s="62">
        <v>60000</v>
      </c>
      <c r="D66" s="62">
        <v>72000</v>
      </c>
    </row>
    <row r="67" spans="1:6" ht="15.75" customHeight="1">
      <c r="A67" s="13">
        <v>5000</v>
      </c>
      <c r="B67" s="143">
        <v>90000</v>
      </c>
      <c r="C67" s="62">
        <v>100000</v>
      </c>
      <c r="D67" s="62">
        <v>120000</v>
      </c>
    </row>
    <row r="68" spans="1:6" ht="15.75" customHeight="1"/>
    <row r="69" spans="1:6" ht="15.75" customHeight="1"/>
    <row r="70" spans="1:6" ht="15.75" customHeight="1">
      <c r="A70" s="12" t="s">
        <v>514</v>
      </c>
      <c r="B70" s="12" t="s">
        <v>56</v>
      </c>
      <c r="C70" s="12" t="s">
        <v>515</v>
      </c>
      <c r="D70" s="12" t="s">
        <v>321</v>
      </c>
    </row>
    <row r="71" spans="1:6" ht="15.75" customHeight="1">
      <c r="A71" s="8"/>
      <c r="B71" s="13">
        <v>101</v>
      </c>
      <c r="C71" s="13">
        <v>102</v>
      </c>
      <c r="D71" s="13">
        <v>103</v>
      </c>
      <c r="F71" s="96"/>
    </row>
    <row r="72" spans="1:6" ht="15.75" customHeight="1">
      <c r="A72" s="13">
        <v>1</v>
      </c>
      <c r="B72" s="21">
        <v>6000</v>
      </c>
      <c r="C72" s="21">
        <v>11000</v>
      </c>
      <c r="D72" s="21">
        <v>32000</v>
      </c>
      <c r="F72" s="96"/>
    </row>
    <row r="73" spans="1:6" ht="15.75" customHeight="1"/>
    <row r="74" spans="1:6" ht="15.75" customHeight="1"/>
    <row r="75" spans="1:6" ht="15.75" customHeight="1"/>
    <row r="76" spans="1:6" ht="15.75" customHeight="1"/>
    <row r="77" spans="1:6" ht="15.75" customHeight="1"/>
    <row r="78" spans="1:6" ht="15.75" customHeight="1"/>
    <row r="79" spans="1:6" ht="15.75" customHeight="1"/>
    <row r="80" spans="1:6" ht="15.75" customHeight="1">
      <c r="A80" s="12" t="s">
        <v>516</v>
      </c>
      <c r="B80" s="12" t="s">
        <v>56</v>
      </c>
      <c r="C80" s="12" t="s">
        <v>515</v>
      </c>
      <c r="D80" s="12" t="s">
        <v>321</v>
      </c>
      <c r="F80" s="96"/>
    </row>
    <row r="81" spans="1:7" ht="15.75" customHeight="1">
      <c r="A81" s="8" t="s">
        <v>517</v>
      </c>
      <c r="B81" s="13">
        <v>101</v>
      </c>
      <c r="C81" s="13">
        <v>102</v>
      </c>
      <c r="D81" s="13">
        <v>103</v>
      </c>
      <c r="F81" s="96"/>
    </row>
    <row r="82" spans="1:7" ht="15.75" customHeight="1">
      <c r="A82" s="13">
        <v>1</v>
      </c>
      <c r="B82" s="21">
        <v>8000</v>
      </c>
      <c r="C82" s="21">
        <v>16000</v>
      </c>
      <c r="D82" s="21">
        <v>32000</v>
      </c>
      <c r="F82" s="96" t="s">
        <v>518</v>
      </c>
    </row>
    <row r="83" spans="1:7" ht="15.75" customHeight="1"/>
    <row r="84" spans="1:7" ht="15.75" customHeight="1"/>
    <row r="85" spans="1:7" ht="15.75" customHeight="1"/>
    <row r="86" spans="1:7" ht="15.75" customHeight="1"/>
    <row r="87" spans="1:7" ht="15.75" customHeight="1"/>
    <row r="88" spans="1:7" ht="15.75" customHeight="1"/>
    <row r="89" spans="1:7" ht="15.75" customHeight="1"/>
    <row r="90" spans="1:7" ht="15.75" customHeight="1">
      <c r="A90" s="12" t="s">
        <v>519</v>
      </c>
      <c r="B90" s="12" t="s">
        <v>97</v>
      </c>
      <c r="C90" s="12" t="s">
        <v>520</v>
      </c>
      <c r="D90" s="12" t="s">
        <v>521</v>
      </c>
      <c r="E90" s="12" t="s">
        <v>522</v>
      </c>
    </row>
    <row r="91" spans="1:7" ht="15.75" customHeight="1">
      <c r="A91" s="8" t="s">
        <v>517</v>
      </c>
      <c r="B91" s="13">
        <v>101</v>
      </c>
      <c r="C91" s="13">
        <v>102</v>
      </c>
      <c r="D91" s="13">
        <v>103</v>
      </c>
      <c r="E91" s="13">
        <v>104</v>
      </c>
    </row>
    <row r="92" spans="1:7" ht="15.75" customHeight="1">
      <c r="A92" s="13">
        <v>1</v>
      </c>
      <c r="B92" s="21">
        <v>9000</v>
      </c>
      <c r="C92" s="21">
        <v>14000</v>
      </c>
      <c r="D92" s="21">
        <v>22000</v>
      </c>
      <c r="E92" s="21">
        <v>37000</v>
      </c>
      <c r="F92" s="96"/>
      <c r="G92" s="96" t="s">
        <v>518</v>
      </c>
    </row>
    <row r="93" spans="1:7" ht="15.75" customHeight="1"/>
    <row r="94" spans="1:7" ht="15.75" customHeight="1"/>
    <row r="95" spans="1:7" ht="15.75" customHeight="1"/>
    <row r="96" spans="1:7" ht="15.75" customHeight="1"/>
    <row r="97" spans="1:7" ht="15.75" customHeight="1"/>
    <row r="98" spans="1:7" ht="15.75" customHeight="1"/>
    <row r="99" spans="1:7" ht="15.75" customHeight="1"/>
    <row r="100" spans="1:7" ht="15.75" customHeight="1">
      <c r="A100" s="12" t="s">
        <v>523</v>
      </c>
      <c r="B100" s="12" t="s">
        <v>97</v>
      </c>
      <c r="C100" s="12" t="s">
        <v>520</v>
      </c>
      <c r="D100" s="12" t="s">
        <v>521</v>
      </c>
      <c r="E100" s="12" t="s">
        <v>522</v>
      </c>
    </row>
    <row r="101" spans="1:7" ht="15.75" customHeight="1">
      <c r="A101" s="8" t="s">
        <v>517</v>
      </c>
      <c r="B101" s="13">
        <v>101</v>
      </c>
      <c r="C101" s="13">
        <v>102</v>
      </c>
      <c r="D101" s="13">
        <v>103</v>
      </c>
      <c r="E101" s="13">
        <v>104</v>
      </c>
    </row>
    <row r="102" spans="1:7" ht="15.75" customHeight="1">
      <c r="A102" s="13">
        <v>1</v>
      </c>
      <c r="B102" s="21">
        <v>11000</v>
      </c>
      <c r="C102" s="21">
        <v>18000</v>
      </c>
      <c r="D102" s="21">
        <v>29000</v>
      </c>
      <c r="E102" s="21">
        <v>50000</v>
      </c>
      <c r="G102" s="96" t="s">
        <v>518</v>
      </c>
    </row>
    <row r="103" spans="1:7" ht="15.75" customHeight="1"/>
    <row r="104" spans="1:7" ht="15.75" customHeight="1"/>
    <row r="105" spans="1:7" ht="15.75" customHeight="1"/>
    <row r="106" spans="1:7" ht="15.75" customHeight="1"/>
    <row r="107" spans="1:7" ht="15.75" customHeight="1"/>
    <row r="108" spans="1:7" ht="15.75" customHeight="1"/>
    <row r="109" spans="1:7" ht="15.75" customHeight="1"/>
    <row r="110" spans="1:7" ht="15.75" customHeight="1"/>
    <row r="111" spans="1:7" ht="15.75" customHeight="1">
      <c r="A111" s="12" t="s">
        <v>524</v>
      </c>
      <c r="B111" s="25" t="s">
        <v>326</v>
      </c>
    </row>
    <row r="112" spans="1:7" ht="15.75" customHeight="1">
      <c r="A112" s="8" t="s">
        <v>525</v>
      </c>
      <c r="B112" s="21">
        <v>1</v>
      </c>
    </row>
    <row r="113" spans="1:4" ht="15.75" customHeight="1">
      <c r="A113" s="21">
        <v>1</v>
      </c>
      <c r="B113" s="21">
        <v>16000</v>
      </c>
    </row>
    <row r="114" spans="1:4" ht="15.75" customHeight="1">
      <c r="A114" s="21">
        <v>20</v>
      </c>
      <c r="B114" s="21">
        <v>15520</v>
      </c>
    </row>
    <row r="115" spans="1:4" ht="15.75" customHeight="1">
      <c r="A115" s="21">
        <v>50</v>
      </c>
      <c r="B115" s="21">
        <v>15200</v>
      </c>
    </row>
    <row r="116" spans="1:4" ht="15.75" customHeight="1">
      <c r="A116" s="21">
        <v>100</v>
      </c>
      <c r="B116" s="21">
        <v>14400</v>
      </c>
    </row>
    <row r="117" spans="1:4" ht="15.75" customHeight="1">
      <c r="A117" s="21">
        <v>200</v>
      </c>
      <c r="B117" s="21">
        <v>13600</v>
      </c>
    </row>
    <row r="118" spans="1:4" ht="15.75" customHeight="1">
      <c r="A118" s="21">
        <v>300</v>
      </c>
      <c r="B118" s="21">
        <v>12800</v>
      </c>
    </row>
    <row r="119" spans="1:4" ht="15.75" customHeight="1"/>
    <row r="120" spans="1:4" ht="15.75" customHeight="1"/>
    <row r="121" spans="1:4" ht="15.75" customHeight="1">
      <c r="A121" s="12" t="s">
        <v>526</v>
      </c>
      <c r="B121" s="12" t="s">
        <v>527</v>
      </c>
      <c r="C121" s="12" t="s">
        <v>56</v>
      </c>
      <c r="D121" s="12" t="s">
        <v>8</v>
      </c>
    </row>
    <row r="122" spans="1:4" ht="15.75" customHeight="1">
      <c r="A122" s="8" t="s">
        <v>517</v>
      </c>
      <c r="B122" s="13">
        <v>101</v>
      </c>
      <c r="C122" s="13">
        <v>102</v>
      </c>
      <c r="D122" s="13">
        <v>103</v>
      </c>
    </row>
    <row r="123" spans="1:4" ht="15.75" customHeight="1">
      <c r="A123" s="25" t="s">
        <v>528</v>
      </c>
      <c r="B123" s="21">
        <v>3500</v>
      </c>
      <c r="C123" s="154">
        <v>4500</v>
      </c>
      <c r="D123" s="154">
        <v>6500</v>
      </c>
    </row>
    <row r="124" spans="1:4" ht="15.75" customHeight="1">
      <c r="A124" s="25" t="s">
        <v>529</v>
      </c>
      <c r="B124" s="21">
        <v>3400</v>
      </c>
      <c r="C124" s="154">
        <v>4300</v>
      </c>
      <c r="D124" s="154">
        <v>6200</v>
      </c>
    </row>
    <row r="125" spans="1:4" ht="15.75" customHeight="1">
      <c r="A125" s="25" t="s">
        <v>530</v>
      </c>
      <c r="B125" s="21">
        <v>3300</v>
      </c>
      <c r="C125" s="154">
        <v>4200</v>
      </c>
      <c r="D125" s="154">
        <v>6100</v>
      </c>
    </row>
    <row r="126" spans="1:4" ht="15.75" customHeight="1">
      <c r="A126" s="25" t="s">
        <v>531</v>
      </c>
      <c r="B126" s="21">
        <v>3100</v>
      </c>
      <c r="C126" s="154">
        <v>4000</v>
      </c>
      <c r="D126" s="154">
        <v>5900</v>
      </c>
    </row>
    <row r="127" spans="1:4" ht="15.75" customHeight="1">
      <c r="A127" s="25" t="s">
        <v>532</v>
      </c>
      <c r="B127" s="21">
        <v>2900</v>
      </c>
      <c r="C127" s="154">
        <v>3800</v>
      </c>
      <c r="D127" s="154">
        <v>5500</v>
      </c>
    </row>
    <row r="128" spans="1:4" ht="15.75" customHeight="1"/>
    <row r="129" spans="1:8" ht="15.75" customHeight="1"/>
    <row r="130" spans="1:8" ht="15.75" customHeight="1"/>
    <row r="131" spans="1:8" ht="15.75" customHeight="1">
      <c r="A131" s="12" t="s">
        <v>533</v>
      </c>
      <c r="B131" s="12" t="s">
        <v>534</v>
      </c>
      <c r="C131" s="12" t="s">
        <v>492</v>
      </c>
      <c r="D131" s="12" t="s">
        <v>493</v>
      </c>
      <c r="E131" s="12" t="s">
        <v>494</v>
      </c>
      <c r="F131" s="12" t="s">
        <v>535</v>
      </c>
    </row>
    <row r="132" spans="1:8" ht="15.75" customHeight="1">
      <c r="A132" s="8" t="s">
        <v>517</v>
      </c>
      <c r="C132" s="13">
        <v>101</v>
      </c>
      <c r="D132" s="13">
        <v>102</v>
      </c>
      <c r="E132" s="13">
        <v>103</v>
      </c>
      <c r="F132" s="13">
        <v>104</v>
      </c>
    </row>
    <row r="133" spans="1:8" ht="15.75" customHeight="1">
      <c r="A133" s="25" t="s">
        <v>528</v>
      </c>
      <c r="B133" s="155">
        <v>6500</v>
      </c>
      <c r="C133" s="25"/>
      <c r="D133" s="25"/>
      <c r="E133" s="21"/>
      <c r="F133" s="21"/>
      <c r="H133" s="96" t="s">
        <v>536</v>
      </c>
    </row>
    <row r="134" spans="1:8" ht="15.75" customHeight="1">
      <c r="A134" s="25" t="s">
        <v>529</v>
      </c>
      <c r="B134" s="155">
        <v>4900</v>
      </c>
      <c r="C134" s="25"/>
      <c r="D134" s="25"/>
      <c r="E134" s="25"/>
      <c r="F134" s="21"/>
    </row>
    <row r="135" spans="1:8" ht="15.75" customHeight="1">
      <c r="A135" s="25" t="s">
        <v>530</v>
      </c>
      <c r="B135" s="155">
        <v>4200</v>
      </c>
      <c r="C135" s="25"/>
      <c r="D135" s="25"/>
      <c r="E135" s="25"/>
      <c r="F135" s="21"/>
    </row>
    <row r="136" spans="1:8" ht="15.75" customHeight="1">
      <c r="A136" s="25" t="s">
        <v>531</v>
      </c>
      <c r="B136" s="155">
        <v>3500</v>
      </c>
      <c r="C136" s="25"/>
      <c r="D136" s="25"/>
      <c r="E136" s="25"/>
      <c r="F136" s="21"/>
    </row>
    <row r="137" spans="1:8" ht="15.75" customHeight="1">
      <c r="A137" s="25" t="s">
        <v>532</v>
      </c>
      <c r="B137" s="155">
        <v>2800</v>
      </c>
      <c r="C137" s="25"/>
      <c r="D137" s="25"/>
      <c r="E137" s="25"/>
      <c r="F137" s="21"/>
    </row>
    <row r="138" spans="1:8" ht="15.75" customHeight="1"/>
    <row r="139" spans="1:8" ht="15.75" customHeight="1"/>
    <row r="140" spans="1:8" ht="15.75" customHeight="1"/>
    <row r="141" spans="1:8" ht="15.75" customHeight="1">
      <c r="A141" s="12" t="s">
        <v>533</v>
      </c>
      <c r="B141" s="12" t="s">
        <v>537</v>
      </c>
      <c r="C141" s="12" t="s">
        <v>492</v>
      </c>
      <c r="D141" s="12" t="s">
        <v>493</v>
      </c>
      <c r="E141" s="12" t="s">
        <v>494</v>
      </c>
      <c r="F141" s="12" t="s">
        <v>535</v>
      </c>
    </row>
    <row r="142" spans="1:8" ht="15.75" customHeight="1">
      <c r="A142" s="8" t="s">
        <v>517</v>
      </c>
      <c r="C142" s="13">
        <v>101</v>
      </c>
      <c r="D142" s="13">
        <v>102</v>
      </c>
      <c r="E142" s="13">
        <v>103</v>
      </c>
      <c r="F142" s="13">
        <v>104</v>
      </c>
    </row>
    <row r="143" spans="1:8" ht="15.75" customHeight="1">
      <c r="A143" s="25" t="s">
        <v>528</v>
      </c>
      <c r="B143" s="155">
        <v>6500</v>
      </c>
      <c r="C143" s="25"/>
      <c r="D143" s="25"/>
      <c r="E143" s="21"/>
      <c r="F143" s="21"/>
      <c r="H143" s="96" t="s">
        <v>536</v>
      </c>
    </row>
    <row r="144" spans="1:8" ht="15.75" customHeight="1">
      <c r="A144" s="25" t="s">
        <v>529</v>
      </c>
      <c r="B144" s="155">
        <v>4900</v>
      </c>
      <c r="C144" s="25"/>
      <c r="D144" s="25"/>
      <c r="E144" s="25"/>
      <c r="F144" s="21"/>
    </row>
    <row r="145" spans="1:6" ht="15.75" customHeight="1">
      <c r="A145" s="25" t="s">
        <v>530</v>
      </c>
      <c r="B145" s="155">
        <v>4200</v>
      </c>
      <c r="C145" s="25"/>
      <c r="D145" s="25"/>
      <c r="E145" s="25"/>
      <c r="F145" s="21"/>
    </row>
    <row r="146" spans="1:6" ht="15.75" customHeight="1">
      <c r="A146" s="25" t="s">
        <v>531</v>
      </c>
      <c r="B146" s="155">
        <v>3500</v>
      </c>
      <c r="C146" s="25"/>
      <c r="D146" s="25"/>
      <c r="E146" s="25"/>
      <c r="F146" s="21"/>
    </row>
    <row r="147" spans="1:6" ht="15.75" customHeight="1">
      <c r="A147" s="25" t="s">
        <v>532</v>
      </c>
      <c r="B147" s="155">
        <v>2800</v>
      </c>
      <c r="C147" s="25"/>
      <c r="D147" s="25"/>
      <c r="E147" s="25"/>
      <c r="F147" s="21"/>
    </row>
    <row r="148" spans="1:6" ht="15.75" customHeight="1"/>
    <row r="149" spans="1:6" ht="15.75" customHeight="1"/>
    <row r="150" spans="1:6" ht="15.75" customHeight="1"/>
    <row r="151" spans="1:6" ht="15.75" customHeight="1"/>
    <row r="152" spans="1:6" ht="15.75" customHeight="1"/>
    <row r="153" spans="1:6" ht="15.75" customHeight="1"/>
    <row r="154" spans="1:6" ht="15.75" customHeight="1"/>
    <row r="155" spans="1:6" ht="15.75" customHeight="1"/>
    <row r="156" spans="1:6" ht="15.75" customHeight="1"/>
    <row r="157" spans="1:6" ht="15.75" customHeight="1"/>
    <row r="158" spans="1:6" ht="15.75" customHeight="1"/>
    <row r="159" spans="1:6" ht="15.75" customHeight="1"/>
    <row r="160" spans="1:6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53:E53"/>
  </mergeCells>
  <phoneticPr fontId="37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  <pageSetUpPr fitToPage="1"/>
  </sheetPr>
  <dimension ref="A1:I991"/>
  <sheetViews>
    <sheetView workbookViewId="0"/>
  </sheetViews>
  <sheetFormatPr defaultColWidth="12.5703125" defaultRowHeight="15" customHeight="1"/>
  <cols>
    <col min="1" max="6" width="12.5703125" customWidth="1"/>
  </cols>
  <sheetData>
    <row r="1" spans="1:9" ht="15.75" customHeight="1">
      <c r="A1" s="156"/>
      <c r="B1" s="156"/>
      <c r="C1" s="156"/>
      <c r="D1" s="156"/>
      <c r="E1" s="156"/>
      <c r="F1" s="156"/>
      <c r="G1" s="156"/>
      <c r="H1" s="156"/>
      <c r="I1" s="156"/>
    </row>
    <row r="2" spans="1:9" ht="15.75" customHeight="1">
      <c r="A2" s="156"/>
      <c r="B2" s="156"/>
      <c r="C2" s="156"/>
      <c r="D2" s="156"/>
      <c r="E2" s="156"/>
      <c r="F2" s="156"/>
      <c r="G2" s="156"/>
      <c r="H2" s="156"/>
      <c r="I2" s="156"/>
    </row>
    <row r="3" spans="1:9" ht="15.75" customHeight="1">
      <c r="A3" s="157"/>
      <c r="B3" s="158"/>
      <c r="C3" s="158"/>
      <c r="D3" s="158"/>
      <c r="E3" s="157"/>
      <c r="F3" s="157"/>
      <c r="G3" s="157"/>
      <c r="H3" s="156"/>
      <c r="I3" s="156"/>
    </row>
    <row r="4" spans="1:9" ht="15.75" customHeight="1">
      <c r="A4" s="156"/>
      <c r="B4" s="156"/>
      <c r="C4" s="156"/>
      <c r="D4" s="156"/>
      <c r="E4" s="156"/>
      <c r="F4" s="156"/>
      <c r="G4" s="156"/>
      <c r="H4" s="156"/>
      <c r="I4" s="156"/>
    </row>
    <row r="5" spans="1:9" ht="15.75" customHeight="1">
      <c r="A5" s="199" t="s">
        <v>538</v>
      </c>
      <c r="B5" s="182"/>
      <c r="C5" s="156"/>
      <c r="D5" s="156"/>
      <c r="E5" s="156"/>
      <c r="F5" s="156"/>
      <c r="G5" s="156"/>
      <c r="H5" s="156"/>
      <c r="I5" s="156"/>
    </row>
    <row r="6" spans="1:9" ht="15.75" customHeight="1">
      <c r="A6" s="156"/>
      <c r="B6" s="156"/>
    </row>
    <row r="7" spans="1:9" ht="15.75" customHeight="1">
      <c r="A7" s="159" t="s">
        <v>539</v>
      </c>
      <c r="B7" s="160" t="s">
        <v>540</v>
      </c>
    </row>
    <row r="8" spans="1:9" ht="15.75" customHeight="1">
      <c r="A8" s="161" t="s">
        <v>541</v>
      </c>
      <c r="B8" s="162">
        <v>5000</v>
      </c>
    </row>
    <row r="9" spans="1:9" ht="15.75" customHeight="1">
      <c r="A9" s="161">
        <v>40</v>
      </c>
      <c r="B9" s="162">
        <v>6000</v>
      </c>
    </row>
    <row r="10" spans="1:9" ht="15.75" customHeight="1">
      <c r="A10" s="161">
        <v>60</v>
      </c>
      <c r="B10" s="162">
        <v>7000</v>
      </c>
    </row>
    <row r="11" spans="1:9" ht="15.75" customHeight="1">
      <c r="A11" s="161">
        <v>80</v>
      </c>
      <c r="B11" s="162">
        <v>8000</v>
      </c>
    </row>
    <row r="12" spans="1:9" ht="15.75" customHeight="1">
      <c r="A12" s="161">
        <v>100</v>
      </c>
      <c r="B12" s="162">
        <v>9500</v>
      </c>
    </row>
    <row r="13" spans="1:9" ht="15.75" customHeight="1">
      <c r="A13" s="161">
        <v>120</v>
      </c>
      <c r="B13" s="162">
        <v>10200</v>
      </c>
    </row>
    <row r="14" spans="1:9" ht="15.75" customHeight="1">
      <c r="A14" s="161">
        <v>140</v>
      </c>
      <c r="B14" s="162">
        <v>10800</v>
      </c>
    </row>
    <row r="15" spans="1:9" ht="15.75" customHeight="1">
      <c r="A15" s="161">
        <v>160</v>
      </c>
      <c r="B15" s="162">
        <v>11400</v>
      </c>
    </row>
    <row r="16" spans="1:9" ht="15.75" customHeight="1">
      <c r="A16" s="161">
        <v>180</v>
      </c>
      <c r="B16" s="162">
        <v>11900</v>
      </c>
    </row>
    <row r="17" spans="1:2" ht="15.75" customHeight="1">
      <c r="A17" s="161">
        <v>200</v>
      </c>
      <c r="B17" s="162">
        <v>12300</v>
      </c>
    </row>
    <row r="18" spans="1:2" ht="15.75" customHeight="1">
      <c r="A18" s="161">
        <v>220</v>
      </c>
      <c r="B18" s="162">
        <v>13900</v>
      </c>
    </row>
    <row r="19" spans="1:2" ht="15.75" customHeight="1">
      <c r="A19" s="161">
        <v>240</v>
      </c>
      <c r="B19" s="162">
        <v>14400</v>
      </c>
    </row>
    <row r="20" spans="1:2" ht="15.75" customHeight="1">
      <c r="A20" s="161">
        <v>260</v>
      </c>
      <c r="B20" s="162">
        <v>15000</v>
      </c>
    </row>
    <row r="21" spans="1:2" ht="15.75" customHeight="1">
      <c r="A21" s="161">
        <v>280</v>
      </c>
      <c r="B21" s="162">
        <v>15500</v>
      </c>
    </row>
    <row r="22" spans="1:2" ht="15.75" customHeight="1">
      <c r="A22" s="161">
        <v>300</v>
      </c>
      <c r="B22" s="162">
        <v>13500</v>
      </c>
    </row>
    <row r="23" spans="1:2" ht="15.75" customHeight="1">
      <c r="A23" s="161">
        <v>320</v>
      </c>
      <c r="B23" s="162">
        <v>17600</v>
      </c>
    </row>
    <row r="24" spans="1:2" ht="15.75" customHeight="1">
      <c r="A24" s="161">
        <v>340</v>
      </c>
      <c r="B24" s="162">
        <v>18200</v>
      </c>
    </row>
    <row r="25" spans="1:2" ht="15.75" customHeight="1">
      <c r="A25" s="161">
        <v>360</v>
      </c>
      <c r="B25" s="162">
        <v>19300</v>
      </c>
    </row>
    <row r="26" spans="1:2" ht="15.75" customHeight="1">
      <c r="A26" s="161">
        <v>380</v>
      </c>
      <c r="B26" s="162">
        <v>20400</v>
      </c>
    </row>
    <row r="27" spans="1:2" ht="15.75" customHeight="1">
      <c r="A27" s="161">
        <v>400</v>
      </c>
      <c r="B27" s="162">
        <v>21200</v>
      </c>
    </row>
    <row r="28" spans="1:2" ht="15.75" customHeight="1">
      <c r="A28" s="161">
        <v>420</v>
      </c>
      <c r="B28" s="162">
        <v>22100</v>
      </c>
    </row>
    <row r="29" spans="1:2" ht="15.75" customHeight="1">
      <c r="A29" s="161">
        <v>440</v>
      </c>
      <c r="B29" s="162">
        <v>22700</v>
      </c>
    </row>
    <row r="30" spans="1:2" ht="15.75" customHeight="1">
      <c r="A30" s="161">
        <v>460</v>
      </c>
      <c r="B30" s="162">
        <v>23300</v>
      </c>
    </row>
    <row r="31" spans="1:2" ht="15.75" customHeight="1">
      <c r="A31" s="161">
        <v>480</v>
      </c>
      <c r="B31" s="162">
        <v>23800</v>
      </c>
    </row>
    <row r="32" spans="1:2" ht="15.75" customHeight="1">
      <c r="A32" s="161">
        <v>500</v>
      </c>
      <c r="B32" s="162">
        <v>24600</v>
      </c>
    </row>
    <row r="33" spans="1:2" ht="15.75" customHeight="1">
      <c r="A33" s="161">
        <v>600</v>
      </c>
      <c r="B33" s="162">
        <v>28800</v>
      </c>
    </row>
    <row r="34" spans="1:2" ht="15.75" customHeight="1">
      <c r="A34" s="161">
        <v>700</v>
      </c>
      <c r="B34" s="162">
        <v>32500</v>
      </c>
    </row>
    <row r="35" spans="1:2" ht="15.75" customHeight="1">
      <c r="A35" s="161">
        <v>800</v>
      </c>
      <c r="B35" s="162">
        <v>36800</v>
      </c>
    </row>
    <row r="36" spans="1:2" ht="15.75" customHeight="1">
      <c r="A36" s="161">
        <v>900</v>
      </c>
      <c r="B36" s="162">
        <v>41000</v>
      </c>
    </row>
    <row r="37" spans="1:2" ht="15.75" customHeight="1">
      <c r="A37" s="163">
        <v>1000</v>
      </c>
      <c r="B37" s="162">
        <v>45000</v>
      </c>
    </row>
    <row r="38" spans="1:2" ht="15.75" customHeight="1">
      <c r="A38" s="163">
        <v>1100</v>
      </c>
      <c r="B38" s="162">
        <v>49000</v>
      </c>
    </row>
    <row r="39" spans="1:2" ht="15.75" customHeight="1">
      <c r="A39" s="163">
        <v>1200</v>
      </c>
      <c r="B39" s="162">
        <v>52800</v>
      </c>
    </row>
    <row r="40" spans="1:2" ht="15.75" customHeight="1">
      <c r="A40" s="163">
        <v>1300</v>
      </c>
      <c r="B40" s="162">
        <v>56600</v>
      </c>
    </row>
    <row r="41" spans="1:2" ht="15.75" customHeight="1">
      <c r="A41" s="163">
        <v>1400</v>
      </c>
      <c r="B41" s="162">
        <v>60500</v>
      </c>
    </row>
    <row r="42" spans="1:2" ht="15.75" customHeight="1">
      <c r="A42" s="163">
        <v>1500</v>
      </c>
      <c r="B42" s="162">
        <v>60200</v>
      </c>
    </row>
    <row r="43" spans="1:2" ht="15.75" customHeight="1">
      <c r="A43" s="163">
        <v>1600</v>
      </c>
      <c r="B43" s="162">
        <v>68800</v>
      </c>
    </row>
    <row r="44" spans="1:2" ht="15.75" customHeight="1">
      <c r="A44" s="163">
        <v>1700</v>
      </c>
      <c r="B44" s="162">
        <v>73100</v>
      </c>
    </row>
    <row r="45" spans="1:2" ht="15.75" customHeight="1">
      <c r="A45" s="163">
        <v>1800</v>
      </c>
      <c r="B45" s="162">
        <v>77400</v>
      </c>
    </row>
    <row r="46" spans="1:2" ht="15.75" customHeight="1">
      <c r="A46" s="163">
        <v>1900</v>
      </c>
      <c r="B46" s="162">
        <v>80700</v>
      </c>
    </row>
    <row r="47" spans="1:2" ht="15.75" customHeight="1">
      <c r="A47" s="163">
        <v>2000</v>
      </c>
      <c r="B47" s="162">
        <v>85000</v>
      </c>
    </row>
    <row r="48" spans="1:2" ht="15.75" customHeight="1">
      <c r="A48" s="163">
        <v>2100</v>
      </c>
      <c r="B48" s="162">
        <v>89300</v>
      </c>
    </row>
    <row r="49" spans="1:2" ht="15.75" customHeight="1">
      <c r="A49" s="163">
        <v>2200</v>
      </c>
      <c r="B49" s="162">
        <v>93500</v>
      </c>
    </row>
    <row r="50" spans="1:2" ht="15.75" customHeight="1">
      <c r="A50" s="163">
        <v>2300</v>
      </c>
      <c r="B50" s="162">
        <v>97800</v>
      </c>
    </row>
    <row r="51" spans="1:2" ht="15.75" customHeight="1">
      <c r="A51" s="163">
        <v>2400</v>
      </c>
      <c r="B51" s="162">
        <v>102000</v>
      </c>
    </row>
    <row r="52" spans="1:2" ht="15.75" customHeight="1">
      <c r="A52" s="163">
        <v>2500</v>
      </c>
      <c r="B52" s="162">
        <v>106300</v>
      </c>
    </row>
    <row r="53" spans="1:2" ht="15.75" customHeight="1">
      <c r="A53" s="163">
        <v>2600</v>
      </c>
      <c r="B53" s="162">
        <v>109200</v>
      </c>
    </row>
    <row r="54" spans="1:2" ht="15.75" customHeight="1">
      <c r="A54" s="163">
        <v>2700</v>
      </c>
      <c r="B54" s="162">
        <v>113400</v>
      </c>
    </row>
    <row r="55" spans="1:2" ht="15.75" customHeight="1">
      <c r="A55" s="163">
        <v>2800</v>
      </c>
      <c r="B55" s="162">
        <v>117600</v>
      </c>
    </row>
    <row r="56" spans="1:2" ht="15.75" customHeight="1">
      <c r="A56" s="163">
        <v>2900</v>
      </c>
      <c r="B56" s="162">
        <v>121800</v>
      </c>
    </row>
    <row r="57" spans="1:2" ht="15.75" customHeight="1">
      <c r="A57" s="163">
        <v>3000</v>
      </c>
      <c r="B57" s="162">
        <v>126000</v>
      </c>
    </row>
    <row r="58" spans="1:2" ht="15.75" customHeight="1"/>
    <row r="59" spans="1:2" ht="15.75" customHeight="1"/>
    <row r="60" spans="1:2" ht="15.75" customHeight="1"/>
    <row r="61" spans="1:2" ht="15.75" customHeight="1"/>
    <row r="62" spans="1:2" ht="15.75" customHeight="1"/>
    <row r="63" spans="1:2" ht="15.75" customHeight="1"/>
    <row r="64" spans="1:2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</sheetData>
  <mergeCells count="1">
    <mergeCell ref="A5:B5"/>
  </mergeCells>
  <phoneticPr fontId="37" type="noConversion"/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P1000"/>
  <sheetViews>
    <sheetView workbookViewId="0"/>
  </sheetViews>
  <sheetFormatPr defaultColWidth="12.5703125" defaultRowHeight="15" customHeight="1"/>
  <cols>
    <col min="1" max="1" width="12.5703125" customWidth="1"/>
    <col min="2" max="2" width="20.5703125" customWidth="1"/>
    <col min="3" max="3" width="18.42578125" customWidth="1"/>
    <col min="4" max="5" width="12.5703125" customWidth="1"/>
    <col min="6" max="8" width="10.42578125" customWidth="1"/>
    <col min="9" max="9" width="8.28515625" customWidth="1"/>
    <col min="10" max="10" width="8.42578125" customWidth="1"/>
    <col min="12" max="12" width="9.7109375" hidden="1" customWidth="1"/>
    <col min="13" max="16" width="9.7109375" customWidth="1"/>
  </cols>
  <sheetData>
    <row r="1" spans="1:16" ht="15.75" customHeight="1">
      <c r="A1" s="164"/>
      <c r="B1" s="164"/>
      <c r="C1" s="164"/>
      <c r="D1" s="164"/>
      <c r="E1" s="165"/>
      <c r="F1" s="13" t="s">
        <v>542</v>
      </c>
      <c r="L1" s="200" t="s">
        <v>543</v>
      </c>
      <c r="M1" s="182"/>
      <c r="N1" s="182"/>
      <c r="O1" s="182"/>
      <c r="P1" s="182"/>
    </row>
    <row r="2" spans="1:16" ht="15.75" customHeight="1">
      <c r="A2" s="166" t="s">
        <v>544</v>
      </c>
      <c r="B2" s="167" t="s">
        <v>231</v>
      </c>
      <c r="C2" s="166" t="s">
        <v>545</v>
      </c>
      <c r="D2" s="166" t="s">
        <v>546</v>
      </c>
      <c r="E2" s="168" t="s">
        <v>547</v>
      </c>
      <c r="F2" s="169" t="s">
        <v>548</v>
      </c>
      <c r="G2" s="169"/>
      <c r="H2" s="169" t="s">
        <v>549</v>
      </c>
      <c r="I2" s="169" t="s">
        <v>550</v>
      </c>
      <c r="J2" s="169" t="s">
        <v>551</v>
      </c>
      <c r="L2" s="170" t="s">
        <v>552</v>
      </c>
      <c r="M2" s="170" t="s">
        <v>553</v>
      </c>
      <c r="N2" s="170" t="s">
        <v>554</v>
      </c>
      <c r="O2" s="170" t="s">
        <v>555</v>
      </c>
      <c r="P2" s="170" t="s">
        <v>556</v>
      </c>
    </row>
    <row r="3" spans="1:16" ht="15.75" customHeight="1">
      <c r="A3" s="171" t="s">
        <v>557</v>
      </c>
      <c r="B3" s="172" t="s">
        <v>558</v>
      </c>
      <c r="C3" s="171" t="s">
        <v>559</v>
      </c>
      <c r="D3" s="173"/>
      <c r="E3" s="174">
        <v>7000</v>
      </c>
      <c r="F3" s="175">
        <v>7800</v>
      </c>
      <c r="G3" s="175">
        <f t="shared" ref="G3:G87" si="0">SUM(F3*1.1)</f>
        <v>8580</v>
      </c>
      <c r="H3" s="175">
        <v>8600</v>
      </c>
      <c r="L3" s="175">
        <f>SUM(H3*0.97)</f>
        <v>8342</v>
      </c>
      <c r="M3" s="175">
        <f t="shared" ref="M3:M58" si="1">SUM(F3*0.95)</f>
        <v>7410</v>
      </c>
      <c r="N3" s="175">
        <f t="shared" ref="N3:N58" si="2">SUM(F3*0.9)</f>
        <v>7020</v>
      </c>
      <c r="O3" s="175">
        <f t="shared" ref="O3:O58" si="3">SUM(F3*0.85)</f>
        <v>6630</v>
      </c>
      <c r="P3" s="175">
        <f t="shared" ref="P3:P58" si="4">SUM(F3*0.8)</f>
        <v>6240</v>
      </c>
    </row>
    <row r="4" spans="1:16" ht="15.75" customHeight="1">
      <c r="A4" s="173"/>
      <c r="B4" s="176"/>
      <c r="C4" s="171" t="s">
        <v>560</v>
      </c>
      <c r="D4" s="173"/>
      <c r="E4" s="174">
        <v>8200</v>
      </c>
      <c r="F4" s="175">
        <v>8800</v>
      </c>
      <c r="G4" s="175">
        <f t="shared" si="0"/>
        <v>9680</v>
      </c>
      <c r="H4" s="175">
        <v>9800</v>
      </c>
      <c r="L4" s="175">
        <f t="shared" ref="L4:L18" si="5">SUM(E4*0.97)</f>
        <v>7954</v>
      </c>
      <c r="M4" s="175">
        <f t="shared" si="1"/>
        <v>8360</v>
      </c>
      <c r="N4" s="175">
        <f t="shared" si="2"/>
        <v>7920</v>
      </c>
      <c r="O4" s="175">
        <f t="shared" si="3"/>
        <v>7480</v>
      </c>
      <c r="P4" s="175">
        <f t="shared" si="4"/>
        <v>7040</v>
      </c>
    </row>
    <row r="5" spans="1:16" ht="15.75" customHeight="1">
      <c r="A5" s="173"/>
      <c r="B5" s="172" t="s">
        <v>561</v>
      </c>
      <c r="C5" s="171" t="s">
        <v>559</v>
      </c>
      <c r="D5" s="173"/>
      <c r="E5" s="174">
        <v>7000</v>
      </c>
      <c r="F5" s="175">
        <v>7700</v>
      </c>
      <c r="G5" s="175">
        <f t="shared" si="0"/>
        <v>8470</v>
      </c>
      <c r="H5" s="175">
        <v>8600</v>
      </c>
      <c r="L5" s="175">
        <f t="shared" si="5"/>
        <v>6790</v>
      </c>
      <c r="M5" s="175">
        <f t="shared" si="1"/>
        <v>7315</v>
      </c>
      <c r="N5" s="175">
        <f t="shared" si="2"/>
        <v>6930</v>
      </c>
      <c r="O5" s="175">
        <f t="shared" si="3"/>
        <v>6545</v>
      </c>
      <c r="P5" s="175">
        <f t="shared" si="4"/>
        <v>6160</v>
      </c>
    </row>
    <row r="6" spans="1:16" ht="15.75" customHeight="1">
      <c r="A6" s="173"/>
      <c r="B6" s="176"/>
      <c r="C6" s="171" t="s">
        <v>560</v>
      </c>
      <c r="D6" s="173"/>
      <c r="E6" s="174">
        <v>8200</v>
      </c>
      <c r="F6" s="175">
        <v>8300</v>
      </c>
      <c r="G6" s="175">
        <f t="shared" si="0"/>
        <v>9130</v>
      </c>
      <c r="H6" s="175">
        <v>10200</v>
      </c>
      <c r="L6" s="175">
        <f t="shared" si="5"/>
        <v>7954</v>
      </c>
      <c r="M6" s="175">
        <f t="shared" si="1"/>
        <v>7885</v>
      </c>
      <c r="N6" s="175">
        <f t="shared" si="2"/>
        <v>7470</v>
      </c>
      <c r="O6" s="175">
        <f t="shared" si="3"/>
        <v>7055</v>
      </c>
      <c r="P6" s="175">
        <f t="shared" si="4"/>
        <v>6640</v>
      </c>
    </row>
    <row r="7" spans="1:16" ht="15.75" customHeight="1">
      <c r="A7" s="173"/>
      <c r="B7" s="172" t="s">
        <v>562</v>
      </c>
      <c r="C7" s="171" t="s">
        <v>559</v>
      </c>
      <c r="D7" s="173"/>
      <c r="E7" s="174">
        <v>9000</v>
      </c>
      <c r="F7" s="175">
        <v>10000</v>
      </c>
      <c r="G7" s="175">
        <f t="shared" si="0"/>
        <v>11000</v>
      </c>
      <c r="H7" s="175">
        <v>11000</v>
      </c>
      <c r="L7" s="175">
        <f t="shared" si="5"/>
        <v>8730</v>
      </c>
      <c r="M7" s="175">
        <f t="shared" si="1"/>
        <v>9500</v>
      </c>
      <c r="N7" s="175">
        <f t="shared" si="2"/>
        <v>9000</v>
      </c>
      <c r="O7" s="175">
        <f t="shared" si="3"/>
        <v>8500</v>
      </c>
      <c r="P7" s="175">
        <f t="shared" si="4"/>
        <v>8000</v>
      </c>
    </row>
    <row r="8" spans="1:16" ht="15.75" customHeight="1">
      <c r="A8" s="173"/>
      <c r="B8" s="176"/>
      <c r="C8" s="171" t="s">
        <v>560</v>
      </c>
      <c r="D8" s="173"/>
      <c r="E8" s="174">
        <v>10000</v>
      </c>
      <c r="F8" s="175">
        <v>11400</v>
      </c>
      <c r="G8" s="175">
        <f t="shared" si="0"/>
        <v>12540.000000000002</v>
      </c>
      <c r="H8" s="175">
        <v>12500</v>
      </c>
      <c r="L8" s="175">
        <f t="shared" si="5"/>
        <v>9700</v>
      </c>
      <c r="M8" s="175">
        <f t="shared" si="1"/>
        <v>10830</v>
      </c>
      <c r="N8" s="175">
        <f t="shared" si="2"/>
        <v>10260</v>
      </c>
      <c r="O8" s="175">
        <f t="shared" si="3"/>
        <v>9690</v>
      </c>
      <c r="P8" s="175">
        <f t="shared" si="4"/>
        <v>9120</v>
      </c>
    </row>
    <row r="9" spans="1:16" ht="15.75" customHeight="1">
      <c r="A9" s="173"/>
      <c r="B9" s="172" t="s">
        <v>563</v>
      </c>
      <c r="C9" s="171" t="s">
        <v>564</v>
      </c>
      <c r="D9" s="173"/>
      <c r="E9" s="174">
        <v>8600</v>
      </c>
      <c r="F9" s="175">
        <v>9700</v>
      </c>
      <c r="G9" s="175">
        <f t="shared" si="0"/>
        <v>10670</v>
      </c>
      <c r="H9" s="175">
        <v>10800</v>
      </c>
      <c r="L9" s="175">
        <f t="shared" si="5"/>
        <v>8342</v>
      </c>
      <c r="M9" s="175">
        <f t="shared" si="1"/>
        <v>9215</v>
      </c>
      <c r="N9" s="175">
        <f t="shared" si="2"/>
        <v>8730</v>
      </c>
      <c r="O9" s="175">
        <f t="shared" si="3"/>
        <v>8245</v>
      </c>
      <c r="P9" s="175">
        <f t="shared" si="4"/>
        <v>7760</v>
      </c>
    </row>
    <row r="10" spans="1:16" ht="15.75" customHeight="1">
      <c r="A10" s="173"/>
      <c r="B10" s="176"/>
      <c r="C10" s="171" t="s">
        <v>565</v>
      </c>
      <c r="D10" s="173"/>
      <c r="E10" s="174">
        <v>9200</v>
      </c>
      <c r="F10" s="175">
        <v>10500</v>
      </c>
      <c r="G10" s="175">
        <f t="shared" si="0"/>
        <v>11550.000000000002</v>
      </c>
      <c r="H10" s="175">
        <v>11500</v>
      </c>
      <c r="L10" s="175">
        <f t="shared" si="5"/>
        <v>8924</v>
      </c>
      <c r="M10" s="175">
        <f t="shared" si="1"/>
        <v>9975</v>
      </c>
      <c r="N10" s="175">
        <f t="shared" si="2"/>
        <v>9450</v>
      </c>
      <c r="O10" s="175">
        <f t="shared" si="3"/>
        <v>8925</v>
      </c>
      <c r="P10" s="175">
        <f t="shared" si="4"/>
        <v>8400</v>
      </c>
    </row>
    <row r="11" spans="1:16" ht="15.75" customHeight="1">
      <c r="A11" s="173"/>
      <c r="B11" s="172" t="s">
        <v>566</v>
      </c>
      <c r="C11" s="171" t="s">
        <v>559</v>
      </c>
      <c r="D11" s="173"/>
      <c r="E11" s="174">
        <v>12000</v>
      </c>
      <c r="F11" s="175">
        <v>14000</v>
      </c>
      <c r="G11" s="175">
        <f t="shared" si="0"/>
        <v>15400.000000000002</v>
      </c>
      <c r="H11" s="175">
        <v>15000</v>
      </c>
      <c r="L11" s="175">
        <f t="shared" si="5"/>
        <v>11640</v>
      </c>
      <c r="M11" s="175">
        <f t="shared" si="1"/>
        <v>13300</v>
      </c>
      <c r="N11" s="175">
        <f t="shared" si="2"/>
        <v>12600</v>
      </c>
      <c r="O11" s="175">
        <f t="shared" si="3"/>
        <v>11900</v>
      </c>
      <c r="P11" s="175">
        <f t="shared" si="4"/>
        <v>11200</v>
      </c>
    </row>
    <row r="12" spans="1:16" ht="15.75" customHeight="1">
      <c r="A12" s="173"/>
      <c r="B12" s="172" t="s">
        <v>567</v>
      </c>
      <c r="C12" s="173"/>
      <c r="D12" s="173"/>
      <c r="E12" s="174">
        <v>12000</v>
      </c>
      <c r="F12" s="175">
        <v>15000</v>
      </c>
      <c r="G12" s="175">
        <f t="shared" si="0"/>
        <v>16500</v>
      </c>
      <c r="H12" s="175">
        <v>16500</v>
      </c>
      <c r="L12" s="175">
        <f t="shared" si="5"/>
        <v>11640</v>
      </c>
      <c r="M12" s="175">
        <f t="shared" si="1"/>
        <v>14250</v>
      </c>
      <c r="N12" s="175">
        <f t="shared" si="2"/>
        <v>13500</v>
      </c>
      <c r="O12" s="175">
        <f t="shared" si="3"/>
        <v>12750</v>
      </c>
      <c r="P12" s="175">
        <f t="shared" si="4"/>
        <v>12000</v>
      </c>
    </row>
    <row r="13" spans="1:16" ht="15.75" customHeight="1">
      <c r="A13" s="173"/>
      <c r="B13" s="172" t="s">
        <v>568</v>
      </c>
      <c r="C13" s="173"/>
      <c r="D13" s="173"/>
      <c r="E13" s="174">
        <v>16000</v>
      </c>
      <c r="F13" s="175">
        <v>16500</v>
      </c>
      <c r="G13" s="175">
        <f t="shared" si="0"/>
        <v>18150</v>
      </c>
      <c r="H13" s="175">
        <v>18000</v>
      </c>
      <c r="L13" s="175">
        <f t="shared" si="5"/>
        <v>15520</v>
      </c>
      <c r="M13" s="175">
        <f t="shared" si="1"/>
        <v>15675</v>
      </c>
      <c r="N13" s="175">
        <f t="shared" si="2"/>
        <v>14850</v>
      </c>
      <c r="O13" s="175">
        <f t="shared" si="3"/>
        <v>14025</v>
      </c>
      <c r="P13" s="175">
        <f t="shared" si="4"/>
        <v>13200</v>
      </c>
    </row>
    <row r="14" spans="1:16" ht="15.75" customHeight="1">
      <c r="A14" s="173"/>
      <c r="B14" s="172" t="s">
        <v>569</v>
      </c>
      <c r="C14" s="173"/>
      <c r="D14" s="173"/>
      <c r="E14" s="174">
        <v>16000</v>
      </c>
      <c r="F14" s="175">
        <v>17500</v>
      </c>
      <c r="G14" s="175">
        <f t="shared" si="0"/>
        <v>19250</v>
      </c>
      <c r="H14" s="175">
        <v>20000</v>
      </c>
      <c r="L14" s="175">
        <f t="shared" si="5"/>
        <v>15520</v>
      </c>
      <c r="M14" s="175">
        <f t="shared" si="1"/>
        <v>16625</v>
      </c>
      <c r="N14" s="175">
        <f t="shared" si="2"/>
        <v>15750</v>
      </c>
      <c r="O14" s="175">
        <f t="shared" si="3"/>
        <v>14875</v>
      </c>
      <c r="P14" s="175">
        <f t="shared" si="4"/>
        <v>14000</v>
      </c>
    </row>
    <row r="15" spans="1:16" ht="15.75" customHeight="1">
      <c r="A15" s="173"/>
      <c r="B15" s="172" t="s">
        <v>570</v>
      </c>
      <c r="C15" s="171" t="s">
        <v>571</v>
      </c>
      <c r="D15" s="173"/>
      <c r="E15" s="174">
        <v>31000</v>
      </c>
      <c r="F15" s="175">
        <v>31500</v>
      </c>
      <c r="G15" s="175">
        <f t="shared" si="0"/>
        <v>34650</v>
      </c>
      <c r="H15" s="175">
        <v>35000</v>
      </c>
      <c r="L15" s="175">
        <f t="shared" si="5"/>
        <v>30070</v>
      </c>
      <c r="M15" s="175">
        <f t="shared" si="1"/>
        <v>29925</v>
      </c>
      <c r="N15" s="175">
        <f t="shared" si="2"/>
        <v>28350</v>
      </c>
      <c r="O15" s="175">
        <f t="shared" si="3"/>
        <v>26775</v>
      </c>
      <c r="P15" s="175">
        <f t="shared" si="4"/>
        <v>25200</v>
      </c>
    </row>
    <row r="16" spans="1:16" ht="15.75" customHeight="1">
      <c r="A16" s="173"/>
      <c r="B16" s="176"/>
      <c r="C16" s="171" t="s">
        <v>572</v>
      </c>
      <c r="D16" s="173"/>
      <c r="E16" s="174">
        <v>42000</v>
      </c>
      <c r="F16" s="175">
        <v>42700</v>
      </c>
      <c r="G16" s="175">
        <f t="shared" si="0"/>
        <v>46970.000000000007</v>
      </c>
      <c r="H16" s="175">
        <v>48000</v>
      </c>
      <c r="L16" s="175">
        <f t="shared" si="5"/>
        <v>40740</v>
      </c>
      <c r="M16" s="175">
        <f t="shared" si="1"/>
        <v>40565</v>
      </c>
      <c r="N16" s="175">
        <f t="shared" si="2"/>
        <v>38430</v>
      </c>
      <c r="O16" s="175">
        <f t="shared" si="3"/>
        <v>36295</v>
      </c>
      <c r="P16" s="175">
        <f t="shared" si="4"/>
        <v>34160</v>
      </c>
    </row>
    <row r="17" spans="1:16" ht="15.75" customHeight="1">
      <c r="A17" s="173"/>
      <c r="B17" s="176"/>
      <c r="C17" s="171" t="s">
        <v>573</v>
      </c>
      <c r="D17" s="173"/>
      <c r="E17" s="174">
        <v>50000</v>
      </c>
      <c r="F17" s="175">
        <v>51500</v>
      </c>
      <c r="G17" s="175">
        <f t="shared" si="0"/>
        <v>56650.000000000007</v>
      </c>
      <c r="H17" s="175">
        <v>58000</v>
      </c>
      <c r="L17" s="175">
        <f t="shared" si="5"/>
        <v>48500</v>
      </c>
      <c r="M17" s="175">
        <f t="shared" si="1"/>
        <v>48925</v>
      </c>
      <c r="N17" s="175">
        <f t="shared" si="2"/>
        <v>46350</v>
      </c>
      <c r="O17" s="175">
        <f t="shared" si="3"/>
        <v>43775</v>
      </c>
      <c r="P17" s="175">
        <f t="shared" si="4"/>
        <v>41200</v>
      </c>
    </row>
    <row r="18" spans="1:16" ht="15.75" customHeight="1">
      <c r="A18" s="171" t="s">
        <v>574</v>
      </c>
      <c r="B18" s="172" t="s">
        <v>575</v>
      </c>
      <c r="C18" s="171" t="s">
        <v>576</v>
      </c>
      <c r="D18" s="173"/>
      <c r="E18" s="177">
        <v>6500</v>
      </c>
      <c r="F18" s="175">
        <v>7900</v>
      </c>
      <c r="G18" s="175">
        <f t="shared" si="0"/>
        <v>8690</v>
      </c>
      <c r="H18" s="175">
        <v>8800</v>
      </c>
      <c r="L18" s="175">
        <f t="shared" si="5"/>
        <v>6305</v>
      </c>
      <c r="M18" s="175">
        <f t="shared" si="1"/>
        <v>7505</v>
      </c>
      <c r="N18" s="175">
        <f t="shared" si="2"/>
        <v>7110</v>
      </c>
      <c r="O18" s="175">
        <f t="shared" si="3"/>
        <v>6715</v>
      </c>
      <c r="P18" s="175">
        <f t="shared" si="4"/>
        <v>6320</v>
      </c>
    </row>
    <row r="19" spans="1:16" ht="15.75" customHeight="1">
      <c r="A19" s="173"/>
      <c r="B19" s="176"/>
      <c r="C19" s="171" t="s">
        <v>577</v>
      </c>
      <c r="D19" s="173"/>
      <c r="E19" s="178">
        <v>6800</v>
      </c>
      <c r="F19" s="175">
        <v>8400</v>
      </c>
      <c r="G19" s="175">
        <f t="shared" si="0"/>
        <v>9240</v>
      </c>
      <c r="H19" s="175"/>
      <c r="L19" s="175"/>
      <c r="M19" s="175">
        <f t="shared" si="1"/>
        <v>7980</v>
      </c>
      <c r="N19" s="175">
        <f t="shared" si="2"/>
        <v>7560</v>
      </c>
      <c r="O19" s="175">
        <f t="shared" si="3"/>
        <v>7140</v>
      </c>
      <c r="P19" s="175">
        <f t="shared" si="4"/>
        <v>6720</v>
      </c>
    </row>
    <row r="20" spans="1:16" ht="15.75" customHeight="1">
      <c r="A20" s="173"/>
      <c r="B20" s="176"/>
      <c r="C20" s="171" t="s">
        <v>578</v>
      </c>
      <c r="D20" s="173"/>
      <c r="E20" s="177">
        <v>7200</v>
      </c>
      <c r="F20" s="175">
        <v>8900</v>
      </c>
      <c r="G20" s="175">
        <f t="shared" si="0"/>
        <v>9790</v>
      </c>
      <c r="H20" s="175">
        <v>9800</v>
      </c>
      <c r="L20" s="175">
        <f>SUM(E20*0.97)</f>
        <v>6984</v>
      </c>
      <c r="M20" s="175">
        <f t="shared" si="1"/>
        <v>8455</v>
      </c>
      <c r="N20" s="175">
        <f t="shared" si="2"/>
        <v>8010</v>
      </c>
      <c r="O20" s="175">
        <f t="shared" si="3"/>
        <v>7565</v>
      </c>
      <c r="P20" s="175">
        <f t="shared" si="4"/>
        <v>7120</v>
      </c>
    </row>
    <row r="21" spans="1:16" ht="15.75" customHeight="1">
      <c r="A21" s="173"/>
      <c r="B21" s="172"/>
      <c r="C21" s="171" t="s">
        <v>579</v>
      </c>
      <c r="D21" s="173"/>
      <c r="E21" s="179">
        <v>7500</v>
      </c>
      <c r="F21" s="175">
        <v>9400</v>
      </c>
      <c r="G21" s="175">
        <f t="shared" si="0"/>
        <v>10340</v>
      </c>
      <c r="H21" s="175"/>
      <c r="L21" s="175"/>
      <c r="M21" s="175">
        <f t="shared" si="1"/>
        <v>8930</v>
      </c>
      <c r="N21" s="175">
        <f t="shared" si="2"/>
        <v>8460</v>
      </c>
      <c r="O21" s="175">
        <f t="shared" si="3"/>
        <v>7990</v>
      </c>
      <c r="P21" s="175">
        <f t="shared" si="4"/>
        <v>7520</v>
      </c>
    </row>
    <row r="22" spans="1:16" ht="15.75" customHeight="1">
      <c r="A22" s="173"/>
      <c r="B22" s="172" t="s">
        <v>580</v>
      </c>
      <c r="C22" s="171" t="s">
        <v>576</v>
      </c>
      <c r="D22" s="173"/>
      <c r="E22" s="174">
        <v>7000</v>
      </c>
      <c r="F22" s="175">
        <v>8800</v>
      </c>
      <c r="G22" s="175">
        <f t="shared" si="0"/>
        <v>9680</v>
      </c>
      <c r="H22" s="175">
        <v>9800</v>
      </c>
      <c r="L22" s="175">
        <f>SUM(E22*0.97)</f>
        <v>6790</v>
      </c>
      <c r="M22" s="175">
        <f t="shared" si="1"/>
        <v>8360</v>
      </c>
      <c r="N22" s="175">
        <f t="shared" si="2"/>
        <v>7920</v>
      </c>
      <c r="O22" s="175">
        <f t="shared" si="3"/>
        <v>7480</v>
      </c>
      <c r="P22" s="175">
        <f t="shared" si="4"/>
        <v>7040</v>
      </c>
    </row>
    <row r="23" spans="1:16" ht="15.75" customHeight="1">
      <c r="A23" s="173"/>
      <c r="B23" s="176"/>
      <c r="C23" s="171" t="s">
        <v>577</v>
      </c>
      <c r="E23" s="174">
        <v>7300</v>
      </c>
      <c r="F23" s="175">
        <v>9300</v>
      </c>
      <c r="G23" s="175">
        <f t="shared" si="0"/>
        <v>10230</v>
      </c>
      <c r="H23" s="175"/>
      <c r="L23" s="175"/>
      <c r="M23" s="175">
        <f t="shared" si="1"/>
        <v>8835</v>
      </c>
      <c r="N23" s="175">
        <f t="shared" si="2"/>
        <v>8370</v>
      </c>
      <c r="O23" s="175">
        <f t="shared" si="3"/>
        <v>7905</v>
      </c>
      <c r="P23" s="175">
        <f t="shared" si="4"/>
        <v>7440</v>
      </c>
    </row>
    <row r="24" spans="1:16" ht="15.75" customHeight="1">
      <c r="A24" s="173"/>
      <c r="B24" s="176"/>
      <c r="C24" s="171" t="s">
        <v>578</v>
      </c>
      <c r="E24" s="174">
        <v>8400</v>
      </c>
      <c r="F24" s="175">
        <v>10400</v>
      </c>
      <c r="G24" s="175">
        <f t="shared" si="0"/>
        <v>11440.000000000002</v>
      </c>
      <c r="H24" s="175">
        <v>11500</v>
      </c>
      <c r="L24" s="175">
        <f>SUM(E24*0.97)</f>
        <v>8148</v>
      </c>
      <c r="M24" s="175">
        <f t="shared" si="1"/>
        <v>9880</v>
      </c>
      <c r="N24" s="175">
        <f t="shared" si="2"/>
        <v>9360</v>
      </c>
      <c r="O24" s="175">
        <f t="shared" si="3"/>
        <v>8840</v>
      </c>
      <c r="P24" s="175">
        <f t="shared" si="4"/>
        <v>8320</v>
      </c>
    </row>
    <row r="25" spans="1:16" ht="15.75" customHeight="1">
      <c r="A25" s="173"/>
      <c r="B25" s="172"/>
      <c r="C25" s="171" t="s">
        <v>579</v>
      </c>
      <c r="D25" s="171"/>
      <c r="E25" s="174">
        <v>8700</v>
      </c>
      <c r="F25" s="175">
        <v>10900</v>
      </c>
      <c r="G25" s="175">
        <f t="shared" si="0"/>
        <v>11990.000000000002</v>
      </c>
      <c r="H25" s="175"/>
      <c r="L25" s="175"/>
      <c r="M25" s="175">
        <f t="shared" si="1"/>
        <v>10355</v>
      </c>
      <c r="N25" s="175">
        <f t="shared" si="2"/>
        <v>9810</v>
      </c>
      <c r="O25" s="175">
        <f t="shared" si="3"/>
        <v>9265</v>
      </c>
      <c r="P25" s="175">
        <f t="shared" si="4"/>
        <v>8720</v>
      </c>
    </row>
    <row r="26" spans="1:16" ht="15.75" customHeight="1">
      <c r="A26" s="173"/>
      <c r="B26" s="172" t="s">
        <v>581</v>
      </c>
      <c r="C26" s="171" t="s">
        <v>582</v>
      </c>
      <c r="D26" s="171" t="s">
        <v>583</v>
      </c>
      <c r="E26" s="174">
        <v>7000</v>
      </c>
      <c r="F26" s="175">
        <v>7000</v>
      </c>
      <c r="G26" s="175">
        <f t="shared" si="0"/>
        <v>7700.0000000000009</v>
      </c>
      <c r="H26" s="175">
        <v>8500</v>
      </c>
      <c r="L26" s="175">
        <f t="shared" ref="L26:L27" si="6">SUM(E26*0.97)</f>
        <v>6790</v>
      </c>
      <c r="M26" s="175">
        <f t="shared" si="1"/>
        <v>6650</v>
      </c>
      <c r="N26" s="175">
        <f t="shared" si="2"/>
        <v>6300</v>
      </c>
      <c r="O26" s="175">
        <f t="shared" si="3"/>
        <v>5950</v>
      </c>
      <c r="P26" s="175">
        <f t="shared" si="4"/>
        <v>5600</v>
      </c>
    </row>
    <row r="27" spans="1:16" ht="15.75" customHeight="1">
      <c r="A27" s="173"/>
      <c r="B27" s="172" t="s">
        <v>584</v>
      </c>
      <c r="C27" s="171" t="s">
        <v>585</v>
      </c>
      <c r="D27" s="173"/>
      <c r="E27" s="179">
        <v>6000</v>
      </c>
      <c r="F27" s="175">
        <v>6000</v>
      </c>
      <c r="G27" s="175">
        <f t="shared" si="0"/>
        <v>6600.0000000000009</v>
      </c>
      <c r="H27" s="175">
        <v>7000</v>
      </c>
      <c r="L27" s="175">
        <f t="shared" si="6"/>
        <v>5820</v>
      </c>
      <c r="M27" s="175">
        <f t="shared" si="1"/>
        <v>5700</v>
      </c>
      <c r="N27" s="175">
        <f t="shared" si="2"/>
        <v>5400</v>
      </c>
      <c r="O27" s="175">
        <f t="shared" si="3"/>
        <v>5100</v>
      </c>
      <c r="P27" s="175">
        <f t="shared" si="4"/>
        <v>4800</v>
      </c>
    </row>
    <row r="28" spans="1:16" ht="15.75" customHeight="1">
      <c r="A28" s="173"/>
      <c r="B28" s="176"/>
      <c r="C28" s="171" t="s">
        <v>586</v>
      </c>
      <c r="D28" s="173"/>
      <c r="E28" s="177">
        <v>6000</v>
      </c>
      <c r="F28" s="175">
        <v>6000</v>
      </c>
      <c r="G28" s="175">
        <f t="shared" si="0"/>
        <v>6600.0000000000009</v>
      </c>
      <c r="H28" s="175">
        <v>7000</v>
      </c>
      <c r="L28" s="175"/>
      <c r="M28" s="175">
        <f t="shared" si="1"/>
        <v>5700</v>
      </c>
      <c r="N28" s="175">
        <f t="shared" si="2"/>
        <v>5400</v>
      </c>
      <c r="O28" s="175">
        <f t="shared" si="3"/>
        <v>5100</v>
      </c>
      <c r="P28" s="175">
        <f t="shared" si="4"/>
        <v>4800</v>
      </c>
    </row>
    <row r="29" spans="1:16" ht="15.75" customHeight="1">
      <c r="A29" s="173"/>
      <c r="B29" s="172" t="s">
        <v>587</v>
      </c>
      <c r="C29" s="171" t="s">
        <v>588</v>
      </c>
      <c r="D29" s="173"/>
      <c r="E29" s="179">
        <v>6500</v>
      </c>
      <c r="F29" s="175">
        <v>8000</v>
      </c>
      <c r="G29" s="175">
        <f t="shared" si="0"/>
        <v>8800</v>
      </c>
      <c r="H29" s="175">
        <v>8500</v>
      </c>
      <c r="L29" s="175">
        <f t="shared" ref="L29:L58" si="7">SUM(E29*0.97)</f>
        <v>6305</v>
      </c>
      <c r="M29" s="175">
        <f t="shared" si="1"/>
        <v>7600</v>
      </c>
      <c r="N29" s="175">
        <f t="shared" si="2"/>
        <v>7200</v>
      </c>
      <c r="O29" s="175">
        <f t="shared" si="3"/>
        <v>6800</v>
      </c>
      <c r="P29" s="175">
        <f t="shared" si="4"/>
        <v>6400</v>
      </c>
    </row>
    <row r="30" spans="1:16" ht="15.75" customHeight="1">
      <c r="A30" s="173"/>
      <c r="B30" s="176"/>
      <c r="C30" s="171" t="s">
        <v>559</v>
      </c>
      <c r="D30" s="173"/>
      <c r="E30" s="179">
        <v>7500</v>
      </c>
      <c r="F30" s="175">
        <v>9200</v>
      </c>
      <c r="G30" s="175">
        <f t="shared" si="0"/>
        <v>10120</v>
      </c>
      <c r="H30" s="175">
        <v>10000</v>
      </c>
      <c r="L30" s="175">
        <f t="shared" si="7"/>
        <v>7275</v>
      </c>
      <c r="M30" s="175">
        <f t="shared" si="1"/>
        <v>8740</v>
      </c>
      <c r="N30" s="175">
        <f t="shared" si="2"/>
        <v>8280</v>
      </c>
      <c r="O30" s="175">
        <f t="shared" si="3"/>
        <v>7820</v>
      </c>
      <c r="P30" s="175">
        <f t="shared" si="4"/>
        <v>7360</v>
      </c>
    </row>
    <row r="31" spans="1:16" ht="15.75" customHeight="1">
      <c r="A31" s="173"/>
      <c r="B31" s="176"/>
      <c r="C31" s="171" t="s">
        <v>560</v>
      </c>
      <c r="D31" s="173"/>
      <c r="E31" s="179">
        <v>8500</v>
      </c>
      <c r="F31" s="175">
        <v>10500</v>
      </c>
      <c r="G31" s="175">
        <f t="shared" si="0"/>
        <v>11550.000000000002</v>
      </c>
      <c r="H31" s="175">
        <v>11000</v>
      </c>
      <c r="L31" s="175">
        <f t="shared" si="7"/>
        <v>8245</v>
      </c>
      <c r="M31" s="175">
        <f t="shared" si="1"/>
        <v>9975</v>
      </c>
      <c r="N31" s="175">
        <f t="shared" si="2"/>
        <v>9450</v>
      </c>
      <c r="O31" s="175">
        <f t="shared" si="3"/>
        <v>8925</v>
      </c>
      <c r="P31" s="175">
        <f t="shared" si="4"/>
        <v>8400</v>
      </c>
    </row>
    <row r="32" spans="1:16" ht="15.75" customHeight="1">
      <c r="A32" s="171" t="s">
        <v>589</v>
      </c>
      <c r="B32" s="172" t="s">
        <v>590</v>
      </c>
      <c r="C32" s="171" t="s">
        <v>559</v>
      </c>
      <c r="D32" s="173"/>
      <c r="E32" s="174">
        <v>6300</v>
      </c>
      <c r="F32" s="175">
        <v>7200</v>
      </c>
      <c r="G32" s="175">
        <f t="shared" si="0"/>
        <v>7920.0000000000009</v>
      </c>
      <c r="H32" s="175">
        <v>8600</v>
      </c>
      <c r="L32" s="175">
        <f t="shared" si="7"/>
        <v>6111</v>
      </c>
      <c r="M32" s="175">
        <f t="shared" si="1"/>
        <v>6840</v>
      </c>
      <c r="N32" s="175">
        <f t="shared" si="2"/>
        <v>6480</v>
      </c>
      <c r="O32" s="175">
        <f t="shared" si="3"/>
        <v>6120</v>
      </c>
      <c r="P32" s="175">
        <f t="shared" si="4"/>
        <v>5760</v>
      </c>
    </row>
    <row r="33" spans="1:16" ht="15.75" customHeight="1">
      <c r="A33" s="173"/>
      <c r="B33" s="176"/>
      <c r="C33" s="171" t="s">
        <v>560</v>
      </c>
      <c r="D33" s="173"/>
      <c r="E33" s="174">
        <v>8250</v>
      </c>
      <c r="F33" s="175">
        <v>8200</v>
      </c>
      <c r="G33" s="175">
        <f t="shared" si="0"/>
        <v>9020</v>
      </c>
      <c r="H33" s="175">
        <v>9800</v>
      </c>
      <c r="L33" s="175">
        <f t="shared" si="7"/>
        <v>8002.5</v>
      </c>
      <c r="M33" s="175">
        <f t="shared" si="1"/>
        <v>7790</v>
      </c>
      <c r="N33" s="175">
        <f t="shared" si="2"/>
        <v>7380</v>
      </c>
      <c r="O33" s="175">
        <f t="shared" si="3"/>
        <v>6970</v>
      </c>
      <c r="P33" s="175">
        <f t="shared" si="4"/>
        <v>6560</v>
      </c>
    </row>
    <row r="34" spans="1:16" ht="15.75" customHeight="1">
      <c r="A34" s="173"/>
      <c r="B34" s="176"/>
      <c r="C34" s="171" t="s">
        <v>591</v>
      </c>
      <c r="D34" s="173"/>
      <c r="E34" s="174">
        <v>10000</v>
      </c>
      <c r="F34" s="175">
        <v>11100</v>
      </c>
      <c r="G34" s="175">
        <f t="shared" si="0"/>
        <v>12210.000000000002</v>
      </c>
      <c r="H34" s="175">
        <v>13500</v>
      </c>
      <c r="I34" s="151"/>
      <c r="L34" s="175">
        <f t="shared" si="7"/>
        <v>9700</v>
      </c>
      <c r="M34" s="175">
        <f t="shared" si="1"/>
        <v>10545</v>
      </c>
      <c r="N34" s="175">
        <f t="shared" si="2"/>
        <v>9990</v>
      </c>
      <c r="O34" s="175">
        <f t="shared" si="3"/>
        <v>9435</v>
      </c>
      <c r="P34" s="175">
        <f t="shared" si="4"/>
        <v>8880</v>
      </c>
    </row>
    <row r="35" spans="1:16" ht="15.75" customHeight="1">
      <c r="A35" s="173"/>
      <c r="B35" s="172" t="s">
        <v>592</v>
      </c>
      <c r="C35" s="171" t="s">
        <v>559</v>
      </c>
      <c r="D35" s="173"/>
      <c r="E35" s="174">
        <v>5000</v>
      </c>
      <c r="F35" s="175">
        <v>5600</v>
      </c>
      <c r="G35" s="175">
        <f t="shared" si="0"/>
        <v>6160.0000000000009</v>
      </c>
      <c r="H35" s="175">
        <v>6800</v>
      </c>
      <c r="L35" s="175">
        <f t="shared" si="7"/>
        <v>4850</v>
      </c>
      <c r="M35" s="175">
        <f t="shared" si="1"/>
        <v>5320</v>
      </c>
      <c r="N35" s="175">
        <f t="shared" si="2"/>
        <v>5040</v>
      </c>
      <c r="O35" s="175">
        <f t="shared" si="3"/>
        <v>4760</v>
      </c>
      <c r="P35" s="175">
        <f t="shared" si="4"/>
        <v>4480</v>
      </c>
    </row>
    <row r="36" spans="1:16" ht="15.75" customHeight="1">
      <c r="A36" s="173"/>
      <c r="B36" s="176"/>
      <c r="C36" s="171" t="s">
        <v>560</v>
      </c>
      <c r="D36" s="173"/>
      <c r="E36" s="174">
        <v>6000</v>
      </c>
      <c r="F36" s="175">
        <v>6600</v>
      </c>
      <c r="G36" s="175">
        <f t="shared" si="0"/>
        <v>7260.0000000000009</v>
      </c>
      <c r="H36" s="175">
        <v>8000</v>
      </c>
      <c r="L36" s="175">
        <f t="shared" si="7"/>
        <v>5820</v>
      </c>
      <c r="M36" s="175">
        <f t="shared" si="1"/>
        <v>6270</v>
      </c>
      <c r="N36" s="175">
        <f t="shared" si="2"/>
        <v>5940</v>
      </c>
      <c r="O36" s="175">
        <f t="shared" si="3"/>
        <v>5610</v>
      </c>
      <c r="P36" s="175">
        <f t="shared" si="4"/>
        <v>5280</v>
      </c>
    </row>
    <row r="37" spans="1:16" ht="15.75" customHeight="1">
      <c r="A37" s="173"/>
      <c r="B37" s="172" t="s">
        <v>593</v>
      </c>
      <c r="C37" s="171" t="s">
        <v>559</v>
      </c>
      <c r="D37" s="173"/>
      <c r="E37" s="174">
        <v>5200</v>
      </c>
      <c r="F37" s="175">
        <v>5800</v>
      </c>
      <c r="G37" s="175">
        <f t="shared" si="0"/>
        <v>6380.0000000000009</v>
      </c>
      <c r="H37" s="175">
        <v>7000</v>
      </c>
      <c r="L37" s="175">
        <f t="shared" si="7"/>
        <v>5044</v>
      </c>
      <c r="M37" s="175">
        <f t="shared" si="1"/>
        <v>5510</v>
      </c>
      <c r="N37" s="175">
        <f t="shared" si="2"/>
        <v>5220</v>
      </c>
      <c r="O37" s="175">
        <f t="shared" si="3"/>
        <v>4930</v>
      </c>
      <c r="P37" s="175">
        <f t="shared" si="4"/>
        <v>4640</v>
      </c>
    </row>
    <row r="38" spans="1:16" ht="15.75" customHeight="1">
      <c r="A38" s="173"/>
      <c r="B38" s="176"/>
      <c r="C38" s="171" t="s">
        <v>560</v>
      </c>
      <c r="D38" s="173"/>
      <c r="E38" s="174">
        <v>6300</v>
      </c>
      <c r="F38" s="175">
        <v>6700</v>
      </c>
      <c r="G38" s="175">
        <f t="shared" si="0"/>
        <v>7370.0000000000009</v>
      </c>
      <c r="H38" s="175">
        <v>8000</v>
      </c>
      <c r="L38" s="175">
        <f t="shared" si="7"/>
        <v>6111</v>
      </c>
      <c r="M38" s="175">
        <f t="shared" si="1"/>
        <v>6365</v>
      </c>
      <c r="N38" s="175">
        <f t="shared" si="2"/>
        <v>6030</v>
      </c>
      <c r="O38" s="175">
        <f t="shared" si="3"/>
        <v>5695</v>
      </c>
      <c r="P38" s="175">
        <f t="shared" si="4"/>
        <v>5360</v>
      </c>
    </row>
    <row r="39" spans="1:16" ht="15.75" customHeight="1">
      <c r="A39" s="173"/>
      <c r="B39" s="172" t="s">
        <v>594</v>
      </c>
      <c r="C39" s="171" t="s">
        <v>559</v>
      </c>
      <c r="D39" s="173"/>
      <c r="E39" s="174">
        <v>7500</v>
      </c>
      <c r="F39" s="175">
        <v>8100</v>
      </c>
      <c r="G39" s="175">
        <f t="shared" si="0"/>
        <v>8910</v>
      </c>
      <c r="H39" s="175">
        <v>10000</v>
      </c>
      <c r="L39" s="175">
        <f t="shared" si="7"/>
        <v>7275</v>
      </c>
      <c r="M39" s="175">
        <f t="shared" si="1"/>
        <v>7695</v>
      </c>
      <c r="N39" s="175">
        <f t="shared" si="2"/>
        <v>7290</v>
      </c>
      <c r="O39" s="175">
        <f t="shared" si="3"/>
        <v>6885</v>
      </c>
      <c r="P39" s="175">
        <f t="shared" si="4"/>
        <v>6480</v>
      </c>
    </row>
    <row r="40" spans="1:16" ht="15.75" customHeight="1">
      <c r="A40" s="173"/>
      <c r="B40" s="176"/>
      <c r="C40" s="171" t="s">
        <v>560</v>
      </c>
      <c r="D40" s="173"/>
      <c r="E40" s="174">
        <v>8500</v>
      </c>
      <c r="F40" s="175">
        <v>9200</v>
      </c>
      <c r="G40" s="175">
        <f t="shared" si="0"/>
        <v>10120</v>
      </c>
      <c r="H40" s="175">
        <v>12000</v>
      </c>
      <c r="L40" s="175">
        <f t="shared" si="7"/>
        <v>8245</v>
      </c>
      <c r="M40" s="175">
        <f t="shared" si="1"/>
        <v>8740</v>
      </c>
      <c r="N40" s="175">
        <f t="shared" si="2"/>
        <v>8280</v>
      </c>
      <c r="O40" s="175">
        <f t="shared" si="3"/>
        <v>7820</v>
      </c>
      <c r="P40" s="175">
        <f t="shared" si="4"/>
        <v>7360</v>
      </c>
    </row>
    <row r="41" spans="1:16" ht="15.75" customHeight="1">
      <c r="A41" s="173"/>
      <c r="B41" s="176"/>
      <c r="C41" s="171" t="s">
        <v>591</v>
      </c>
      <c r="D41" s="173"/>
      <c r="E41" s="174">
        <v>11000</v>
      </c>
      <c r="F41" s="175">
        <v>11800</v>
      </c>
      <c r="G41" s="175">
        <f t="shared" si="0"/>
        <v>12980.000000000002</v>
      </c>
      <c r="H41" s="175">
        <v>15000</v>
      </c>
      <c r="L41" s="175">
        <f t="shared" si="7"/>
        <v>10670</v>
      </c>
      <c r="M41" s="175">
        <f t="shared" si="1"/>
        <v>11210</v>
      </c>
      <c r="N41" s="175">
        <f t="shared" si="2"/>
        <v>10620</v>
      </c>
      <c r="O41" s="175">
        <f t="shared" si="3"/>
        <v>10030</v>
      </c>
      <c r="P41" s="175">
        <f t="shared" si="4"/>
        <v>9440</v>
      </c>
    </row>
    <row r="42" spans="1:16" ht="15.75" customHeight="1">
      <c r="A42" s="173"/>
      <c r="B42" s="172" t="s">
        <v>595</v>
      </c>
      <c r="C42" s="173"/>
      <c r="D42" s="173"/>
      <c r="E42" s="174">
        <v>9500</v>
      </c>
      <c r="F42" s="175">
        <v>11100</v>
      </c>
      <c r="G42" s="175">
        <f t="shared" si="0"/>
        <v>12210.000000000002</v>
      </c>
      <c r="H42" s="175">
        <v>12500</v>
      </c>
      <c r="L42" s="175">
        <f t="shared" si="7"/>
        <v>9215</v>
      </c>
      <c r="M42" s="175">
        <f t="shared" si="1"/>
        <v>10545</v>
      </c>
      <c r="N42" s="175">
        <f t="shared" si="2"/>
        <v>9990</v>
      </c>
      <c r="O42" s="175">
        <f t="shared" si="3"/>
        <v>9435</v>
      </c>
      <c r="P42" s="175">
        <f t="shared" si="4"/>
        <v>8880</v>
      </c>
    </row>
    <row r="43" spans="1:16" ht="15.75" customHeight="1">
      <c r="A43" s="171" t="s">
        <v>596</v>
      </c>
      <c r="B43" s="172" t="s">
        <v>597</v>
      </c>
      <c r="C43" s="171" t="s">
        <v>559</v>
      </c>
      <c r="D43" s="173"/>
      <c r="E43" s="177">
        <v>6200</v>
      </c>
      <c r="F43" s="175">
        <v>7800</v>
      </c>
      <c r="G43" s="175">
        <f t="shared" si="0"/>
        <v>8580</v>
      </c>
      <c r="H43" s="175">
        <v>8600</v>
      </c>
      <c r="L43" s="175">
        <f t="shared" si="7"/>
        <v>6014</v>
      </c>
      <c r="M43" s="175">
        <f t="shared" si="1"/>
        <v>7410</v>
      </c>
      <c r="N43" s="175">
        <f t="shared" si="2"/>
        <v>7020</v>
      </c>
      <c r="O43" s="175">
        <f t="shared" si="3"/>
        <v>6630</v>
      </c>
      <c r="P43" s="175">
        <f t="shared" si="4"/>
        <v>6240</v>
      </c>
    </row>
    <row r="44" spans="1:16" ht="15.75" customHeight="1">
      <c r="A44" s="173"/>
      <c r="B44" s="176"/>
      <c r="C44" s="171" t="s">
        <v>560</v>
      </c>
      <c r="D44" s="173"/>
      <c r="E44" s="177">
        <v>7400</v>
      </c>
      <c r="F44" s="175">
        <v>9200</v>
      </c>
      <c r="G44" s="175">
        <f t="shared" si="0"/>
        <v>10120</v>
      </c>
      <c r="H44" s="175">
        <v>10000</v>
      </c>
      <c r="L44" s="175">
        <f t="shared" si="7"/>
        <v>7178</v>
      </c>
      <c r="M44" s="175">
        <f t="shared" si="1"/>
        <v>8740</v>
      </c>
      <c r="N44" s="175">
        <f t="shared" si="2"/>
        <v>8280</v>
      </c>
      <c r="O44" s="175">
        <f t="shared" si="3"/>
        <v>7820</v>
      </c>
      <c r="P44" s="175">
        <f t="shared" si="4"/>
        <v>7360</v>
      </c>
    </row>
    <row r="45" spans="1:16" ht="15.75" customHeight="1">
      <c r="A45" s="173"/>
      <c r="B45" s="172" t="s">
        <v>598</v>
      </c>
      <c r="C45" s="171" t="s">
        <v>599</v>
      </c>
      <c r="D45" s="173"/>
      <c r="E45" s="177">
        <v>11100</v>
      </c>
      <c r="F45" s="175">
        <v>13800</v>
      </c>
      <c r="G45" s="175">
        <f t="shared" si="0"/>
        <v>15180.000000000002</v>
      </c>
      <c r="H45" s="175">
        <v>15000</v>
      </c>
      <c r="L45" s="175">
        <f t="shared" si="7"/>
        <v>10767</v>
      </c>
      <c r="M45" s="175">
        <f t="shared" si="1"/>
        <v>13110</v>
      </c>
      <c r="N45" s="175">
        <f t="shared" si="2"/>
        <v>12420</v>
      </c>
      <c r="O45" s="175">
        <f t="shared" si="3"/>
        <v>11730</v>
      </c>
      <c r="P45" s="175">
        <f t="shared" si="4"/>
        <v>11040</v>
      </c>
    </row>
    <row r="46" spans="1:16" ht="15.75" customHeight="1">
      <c r="A46" s="171" t="s">
        <v>600</v>
      </c>
      <c r="B46" s="172" t="s">
        <v>601</v>
      </c>
      <c r="C46" s="173"/>
      <c r="D46" s="173"/>
      <c r="E46" s="174">
        <v>5300</v>
      </c>
      <c r="F46" s="175">
        <v>5300</v>
      </c>
      <c r="G46" s="175">
        <f t="shared" si="0"/>
        <v>5830.0000000000009</v>
      </c>
      <c r="H46" s="175">
        <v>6500</v>
      </c>
      <c r="L46" s="175">
        <f t="shared" si="7"/>
        <v>5141</v>
      </c>
      <c r="M46" s="175">
        <f t="shared" si="1"/>
        <v>5035</v>
      </c>
      <c r="N46" s="175">
        <f t="shared" si="2"/>
        <v>4770</v>
      </c>
      <c r="O46" s="175">
        <f t="shared" si="3"/>
        <v>4505</v>
      </c>
      <c r="P46" s="175">
        <f t="shared" si="4"/>
        <v>4240</v>
      </c>
    </row>
    <row r="47" spans="1:16" ht="15.75" customHeight="1">
      <c r="A47" s="173"/>
      <c r="B47" s="172" t="s">
        <v>602</v>
      </c>
      <c r="C47" s="171" t="s">
        <v>603</v>
      </c>
      <c r="D47" s="173"/>
      <c r="E47" s="174">
        <v>5000</v>
      </c>
      <c r="F47" s="175">
        <v>5000</v>
      </c>
      <c r="G47" s="175">
        <f t="shared" si="0"/>
        <v>5500</v>
      </c>
      <c r="H47" s="175">
        <v>6000</v>
      </c>
      <c r="L47" s="175">
        <f t="shared" si="7"/>
        <v>4850</v>
      </c>
      <c r="M47" s="175">
        <f t="shared" si="1"/>
        <v>4750</v>
      </c>
      <c r="N47" s="175">
        <f t="shared" si="2"/>
        <v>4500</v>
      </c>
      <c r="O47" s="175">
        <f t="shared" si="3"/>
        <v>4250</v>
      </c>
      <c r="P47" s="175">
        <f t="shared" si="4"/>
        <v>4000</v>
      </c>
    </row>
    <row r="48" spans="1:16" ht="15.75" customHeight="1">
      <c r="A48" s="173"/>
      <c r="B48" s="176"/>
      <c r="C48" s="171" t="s">
        <v>604</v>
      </c>
      <c r="D48" s="173"/>
      <c r="E48" s="174">
        <v>5500</v>
      </c>
      <c r="F48" s="175">
        <v>5500</v>
      </c>
      <c r="G48" s="175">
        <f t="shared" si="0"/>
        <v>6050.0000000000009</v>
      </c>
      <c r="H48" s="175">
        <v>6500</v>
      </c>
      <c r="L48" s="175">
        <f t="shared" si="7"/>
        <v>5335</v>
      </c>
      <c r="M48" s="175">
        <f t="shared" si="1"/>
        <v>5225</v>
      </c>
      <c r="N48" s="175">
        <f t="shared" si="2"/>
        <v>4950</v>
      </c>
      <c r="O48" s="175">
        <f t="shared" si="3"/>
        <v>4675</v>
      </c>
      <c r="P48" s="175">
        <f t="shared" si="4"/>
        <v>4400</v>
      </c>
    </row>
    <row r="49" spans="1:16" ht="15.75" customHeight="1">
      <c r="A49" s="173"/>
      <c r="B49" s="172" t="s">
        <v>605</v>
      </c>
      <c r="C49" s="173"/>
      <c r="D49" s="173"/>
      <c r="E49" s="174">
        <v>6000</v>
      </c>
      <c r="F49" s="175">
        <v>6000</v>
      </c>
      <c r="G49" s="175">
        <f t="shared" si="0"/>
        <v>6600.0000000000009</v>
      </c>
      <c r="H49" s="175">
        <v>7200</v>
      </c>
      <c r="L49" s="175">
        <f t="shared" si="7"/>
        <v>5820</v>
      </c>
      <c r="M49" s="175">
        <f t="shared" si="1"/>
        <v>5700</v>
      </c>
      <c r="N49" s="175">
        <f t="shared" si="2"/>
        <v>5400</v>
      </c>
      <c r="O49" s="175">
        <f t="shared" si="3"/>
        <v>5100</v>
      </c>
      <c r="P49" s="175">
        <f t="shared" si="4"/>
        <v>4800</v>
      </c>
    </row>
    <row r="50" spans="1:16" ht="15.75" customHeight="1">
      <c r="A50" s="173"/>
      <c r="B50" s="172" t="s">
        <v>606</v>
      </c>
      <c r="C50" s="171" t="s">
        <v>604</v>
      </c>
      <c r="D50" s="173"/>
      <c r="E50" s="174">
        <v>6500</v>
      </c>
      <c r="F50" s="175">
        <v>6500</v>
      </c>
      <c r="G50" s="175">
        <f t="shared" si="0"/>
        <v>7150.0000000000009</v>
      </c>
      <c r="H50" s="175">
        <v>7500</v>
      </c>
      <c r="L50" s="175">
        <f t="shared" si="7"/>
        <v>6305</v>
      </c>
      <c r="M50" s="175">
        <f t="shared" si="1"/>
        <v>6175</v>
      </c>
      <c r="N50" s="175">
        <f t="shared" si="2"/>
        <v>5850</v>
      </c>
      <c r="O50" s="175">
        <f t="shared" si="3"/>
        <v>5525</v>
      </c>
      <c r="P50" s="175">
        <f t="shared" si="4"/>
        <v>5200</v>
      </c>
    </row>
    <row r="51" spans="1:16" ht="15.75" customHeight="1">
      <c r="A51" s="173"/>
      <c r="B51" s="176"/>
      <c r="C51" s="171" t="s">
        <v>603</v>
      </c>
      <c r="D51" s="173"/>
      <c r="E51" s="174">
        <v>7000</v>
      </c>
      <c r="F51" s="175">
        <v>7000</v>
      </c>
      <c r="G51" s="175">
        <f t="shared" si="0"/>
        <v>7700.0000000000009</v>
      </c>
      <c r="H51" s="175">
        <v>8000</v>
      </c>
      <c r="L51" s="175">
        <f t="shared" si="7"/>
        <v>6790</v>
      </c>
      <c r="M51" s="175">
        <f t="shared" si="1"/>
        <v>6650</v>
      </c>
      <c r="N51" s="175">
        <f t="shared" si="2"/>
        <v>6300</v>
      </c>
      <c r="O51" s="175">
        <f t="shared" si="3"/>
        <v>5950</v>
      </c>
      <c r="P51" s="175">
        <f t="shared" si="4"/>
        <v>5600</v>
      </c>
    </row>
    <row r="52" spans="1:16" ht="15.75" customHeight="1">
      <c r="A52" s="173"/>
      <c r="B52" s="172" t="s">
        <v>607</v>
      </c>
      <c r="C52" s="171" t="s">
        <v>608</v>
      </c>
      <c r="D52" s="173"/>
      <c r="E52" s="174">
        <v>9000</v>
      </c>
      <c r="F52" s="175">
        <v>9000</v>
      </c>
      <c r="G52" s="175">
        <f t="shared" si="0"/>
        <v>9900</v>
      </c>
      <c r="H52" s="175">
        <v>10000</v>
      </c>
      <c r="L52" s="175">
        <f t="shared" si="7"/>
        <v>8730</v>
      </c>
      <c r="M52" s="175">
        <f t="shared" si="1"/>
        <v>8550</v>
      </c>
      <c r="N52" s="175">
        <f t="shared" si="2"/>
        <v>8100</v>
      </c>
      <c r="O52" s="175">
        <f t="shared" si="3"/>
        <v>7650</v>
      </c>
      <c r="P52" s="175">
        <f t="shared" si="4"/>
        <v>7200</v>
      </c>
    </row>
    <row r="53" spans="1:16" ht="15.75" customHeight="1">
      <c r="A53" s="171" t="s">
        <v>609</v>
      </c>
      <c r="B53" s="172" t="s">
        <v>610</v>
      </c>
      <c r="C53" s="173"/>
      <c r="D53" s="173"/>
      <c r="E53" s="174">
        <v>5500</v>
      </c>
      <c r="F53" s="175">
        <v>5500</v>
      </c>
      <c r="G53" s="175">
        <f t="shared" si="0"/>
        <v>6050.0000000000009</v>
      </c>
      <c r="H53" s="175">
        <v>7500</v>
      </c>
      <c r="L53" s="175">
        <f t="shared" si="7"/>
        <v>5335</v>
      </c>
      <c r="M53" s="175">
        <f t="shared" si="1"/>
        <v>5225</v>
      </c>
      <c r="N53" s="175">
        <f t="shared" si="2"/>
        <v>4950</v>
      </c>
      <c r="O53" s="175">
        <f t="shared" si="3"/>
        <v>4675</v>
      </c>
      <c r="P53" s="175">
        <f t="shared" si="4"/>
        <v>4400</v>
      </c>
    </row>
    <row r="54" spans="1:16" ht="15.75" customHeight="1">
      <c r="A54" s="173"/>
      <c r="B54" s="172" t="s">
        <v>611</v>
      </c>
      <c r="C54" s="173"/>
      <c r="D54" s="173"/>
      <c r="E54" s="174">
        <v>5500</v>
      </c>
      <c r="F54" s="175">
        <v>5500</v>
      </c>
      <c r="G54" s="175">
        <f t="shared" si="0"/>
        <v>6050.0000000000009</v>
      </c>
      <c r="H54" s="175">
        <v>8500</v>
      </c>
      <c r="L54" s="175">
        <f t="shared" si="7"/>
        <v>5335</v>
      </c>
      <c r="M54" s="175">
        <f t="shared" si="1"/>
        <v>5225</v>
      </c>
      <c r="N54" s="175">
        <f t="shared" si="2"/>
        <v>4950</v>
      </c>
      <c r="O54" s="175">
        <f t="shared" si="3"/>
        <v>4675</v>
      </c>
      <c r="P54" s="175">
        <f t="shared" si="4"/>
        <v>4400</v>
      </c>
    </row>
    <row r="55" spans="1:16" ht="15.75" customHeight="1">
      <c r="A55" s="173"/>
      <c r="B55" s="172" t="s">
        <v>612</v>
      </c>
      <c r="C55" s="173"/>
      <c r="D55" s="173"/>
      <c r="E55" s="179">
        <v>6200</v>
      </c>
      <c r="F55" s="175">
        <v>6200</v>
      </c>
      <c r="G55" s="175">
        <f t="shared" si="0"/>
        <v>6820.0000000000009</v>
      </c>
      <c r="H55" s="175">
        <v>8500</v>
      </c>
      <c r="L55" s="175">
        <f t="shared" si="7"/>
        <v>6014</v>
      </c>
      <c r="M55" s="175">
        <f t="shared" si="1"/>
        <v>5890</v>
      </c>
      <c r="N55" s="175">
        <f t="shared" si="2"/>
        <v>5580</v>
      </c>
      <c r="O55" s="175">
        <f t="shared" si="3"/>
        <v>5270</v>
      </c>
      <c r="P55" s="175">
        <f t="shared" si="4"/>
        <v>4960</v>
      </c>
    </row>
    <row r="56" spans="1:16" ht="15.75" customHeight="1">
      <c r="A56" s="173"/>
      <c r="B56" s="172" t="s">
        <v>613</v>
      </c>
      <c r="C56" s="173"/>
      <c r="D56" s="173"/>
      <c r="E56" s="174">
        <v>7000</v>
      </c>
      <c r="F56" s="175">
        <v>7000</v>
      </c>
      <c r="G56" s="175">
        <f t="shared" si="0"/>
        <v>7700.0000000000009</v>
      </c>
      <c r="H56" s="175">
        <v>9500</v>
      </c>
      <c r="L56" s="175">
        <f t="shared" si="7"/>
        <v>6790</v>
      </c>
      <c r="M56" s="175">
        <f t="shared" si="1"/>
        <v>6650</v>
      </c>
      <c r="N56" s="175">
        <f t="shared" si="2"/>
        <v>6300</v>
      </c>
      <c r="O56" s="175">
        <f t="shared" si="3"/>
        <v>5950</v>
      </c>
      <c r="P56" s="175">
        <f t="shared" si="4"/>
        <v>5600</v>
      </c>
    </row>
    <row r="57" spans="1:16" ht="15.75" customHeight="1">
      <c r="A57" s="173"/>
      <c r="B57" s="172" t="s">
        <v>614</v>
      </c>
      <c r="C57" s="173"/>
      <c r="D57" s="173"/>
      <c r="E57" s="174">
        <v>7500</v>
      </c>
      <c r="F57" s="175">
        <v>7500</v>
      </c>
      <c r="G57" s="175">
        <f t="shared" si="0"/>
        <v>8250</v>
      </c>
      <c r="H57" s="175">
        <v>10500</v>
      </c>
      <c r="L57" s="175">
        <f t="shared" si="7"/>
        <v>7275</v>
      </c>
      <c r="M57" s="175">
        <f t="shared" si="1"/>
        <v>7125</v>
      </c>
      <c r="N57" s="175">
        <f t="shared" si="2"/>
        <v>6750</v>
      </c>
      <c r="O57" s="175">
        <f t="shared" si="3"/>
        <v>6375</v>
      </c>
      <c r="P57" s="175">
        <f t="shared" si="4"/>
        <v>6000</v>
      </c>
    </row>
    <row r="58" spans="1:16" ht="15.75" customHeight="1">
      <c r="A58" s="173"/>
      <c r="B58" s="172" t="s">
        <v>615</v>
      </c>
      <c r="C58" s="171" t="s">
        <v>616</v>
      </c>
      <c r="D58" s="173"/>
      <c r="E58" s="177">
        <v>5400</v>
      </c>
      <c r="F58" s="175">
        <v>6100</v>
      </c>
      <c r="G58" s="175">
        <f t="shared" si="0"/>
        <v>6710.0000000000009</v>
      </c>
      <c r="H58" s="175">
        <v>7500</v>
      </c>
      <c r="L58" s="175">
        <f t="shared" si="7"/>
        <v>5238</v>
      </c>
      <c r="M58" s="175">
        <f t="shared" si="1"/>
        <v>5795</v>
      </c>
      <c r="N58" s="175">
        <f t="shared" si="2"/>
        <v>5490</v>
      </c>
      <c r="O58" s="175">
        <f t="shared" si="3"/>
        <v>5185</v>
      </c>
      <c r="P58" s="175">
        <f t="shared" si="4"/>
        <v>4880</v>
      </c>
    </row>
    <row r="59" spans="1:16" ht="15.75" customHeight="1">
      <c r="A59" s="173"/>
      <c r="B59" s="172"/>
      <c r="C59" s="171" t="s">
        <v>617</v>
      </c>
      <c r="D59" s="173"/>
      <c r="E59" s="177"/>
      <c r="F59" s="175">
        <v>6400</v>
      </c>
      <c r="G59" s="175">
        <f t="shared" si="0"/>
        <v>7040.0000000000009</v>
      </c>
      <c r="H59" s="175"/>
      <c r="L59" s="175"/>
      <c r="M59" s="175"/>
      <c r="N59" s="175"/>
      <c r="O59" s="175"/>
      <c r="P59" s="175"/>
    </row>
    <row r="60" spans="1:16" ht="15.75" customHeight="1">
      <c r="A60" s="173"/>
      <c r="B60" s="172" t="s">
        <v>618</v>
      </c>
      <c r="C60" s="171" t="s">
        <v>616</v>
      </c>
      <c r="D60" s="173"/>
      <c r="E60" s="177">
        <v>6300</v>
      </c>
      <c r="F60" s="175">
        <v>7400</v>
      </c>
      <c r="G60" s="175">
        <f t="shared" si="0"/>
        <v>8140.0000000000009</v>
      </c>
      <c r="H60" s="175">
        <v>9000</v>
      </c>
      <c r="L60" s="175">
        <f>SUM(E60*0.97)</f>
        <v>6111</v>
      </c>
      <c r="M60" s="175">
        <f>SUM(F60*0.95)</f>
        <v>7030</v>
      </c>
      <c r="N60" s="175">
        <f>SUM(F60*0.9)</f>
        <v>6660</v>
      </c>
      <c r="O60" s="175">
        <f>SUM(F60*0.85)</f>
        <v>6290</v>
      </c>
      <c r="P60" s="175">
        <f>SUM(F60*0.8)</f>
        <v>5920</v>
      </c>
    </row>
    <row r="61" spans="1:16" ht="15.75" customHeight="1">
      <c r="A61" s="171"/>
      <c r="B61" s="172"/>
      <c r="C61" s="171" t="s">
        <v>617</v>
      </c>
      <c r="D61" s="173"/>
      <c r="E61" s="180"/>
      <c r="F61" s="175">
        <v>7700</v>
      </c>
      <c r="G61" s="175">
        <f t="shared" si="0"/>
        <v>8470</v>
      </c>
      <c r="H61" s="175"/>
      <c r="L61" s="175"/>
      <c r="M61" s="175"/>
      <c r="N61" s="175"/>
      <c r="O61" s="175"/>
      <c r="P61" s="175"/>
    </row>
    <row r="62" spans="1:16" ht="15.75" customHeight="1">
      <c r="A62" s="171" t="s">
        <v>619</v>
      </c>
      <c r="B62" s="172" t="s">
        <v>620</v>
      </c>
      <c r="C62" s="173"/>
      <c r="D62" s="173"/>
      <c r="E62" s="180">
        <v>28000</v>
      </c>
      <c r="F62" s="175">
        <v>28000</v>
      </c>
      <c r="G62" s="175">
        <f t="shared" si="0"/>
        <v>30800.000000000004</v>
      </c>
      <c r="H62" s="175">
        <v>31000</v>
      </c>
      <c r="L62" s="175">
        <f t="shared" ref="L62:L68" si="8">SUM(E62*0.97)</f>
        <v>27160</v>
      </c>
      <c r="M62" s="175">
        <f t="shared" ref="M62:M83" si="9">SUM(F62*0.95)</f>
        <v>26600</v>
      </c>
      <c r="N62" s="175">
        <f t="shared" ref="N62:N83" si="10">SUM(F62*0.9)</f>
        <v>25200</v>
      </c>
      <c r="O62" s="175">
        <f t="shared" ref="O62:O83" si="11">SUM(F62*0.85)</f>
        <v>23800</v>
      </c>
      <c r="P62" s="175">
        <f t="shared" ref="P62:P83" si="12">SUM(F62*0.8)</f>
        <v>22400</v>
      </c>
    </row>
    <row r="63" spans="1:16" ht="15.75" customHeight="1">
      <c r="A63" s="173"/>
      <c r="B63" s="172" t="s">
        <v>621</v>
      </c>
      <c r="C63" s="171" t="s">
        <v>622</v>
      </c>
      <c r="D63" s="173"/>
      <c r="E63" s="180">
        <v>52000</v>
      </c>
      <c r="F63" s="175">
        <v>52000</v>
      </c>
      <c r="G63" s="175">
        <f t="shared" si="0"/>
        <v>57200.000000000007</v>
      </c>
      <c r="H63" s="175">
        <v>58000</v>
      </c>
      <c r="L63" s="175">
        <f t="shared" si="8"/>
        <v>50440</v>
      </c>
      <c r="M63" s="175">
        <f t="shared" si="9"/>
        <v>49400</v>
      </c>
      <c r="N63" s="175">
        <f t="shared" si="10"/>
        <v>46800</v>
      </c>
      <c r="O63" s="175">
        <f t="shared" si="11"/>
        <v>44200</v>
      </c>
      <c r="P63" s="175">
        <f t="shared" si="12"/>
        <v>41600</v>
      </c>
    </row>
    <row r="64" spans="1:16" ht="15.75" customHeight="1">
      <c r="A64" s="171" t="s">
        <v>623</v>
      </c>
      <c r="B64" s="172" t="s">
        <v>624</v>
      </c>
      <c r="C64" s="173"/>
      <c r="D64" s="173"/>
      <c r="E64" s="179">
        <v>15000</v>
      </c>
      <c r="F64" s="175">
        <v>15000</v>
      </c>
      <c r="G64" s="175">
        <f t="shared" si="0"/>
        <v>16500</v>
      </c>
      <c r="H64" s="175">
        <v>16500</v>
      </c>
      <c r="L64" s="175">
        <f t="shared" si="8"/>
        <v>14550</v>
      </c>
      <c r="M64" s="175">
        <f t="shared" si="9"/>
        <v>14250</v>
      </c>
      <c r="N64" s="175">
        <f t="shared" si="10"/>
        <v>13500</v>
      </c>
      <c r="O64" s="175">
        <f t="shared" si="11"/>
        <v>12750</v>
      </c>
      <c r="P64" s="175">
        <f t="shared" si="12"/>
        <v>12000</v>
      </c>
    </row>
    <row r="65" spans="1:16" ht="15.75" customHeight="1">
      <c r="A65" s="173"/>
      <c r="B65" s="172" t="s">
        <v>625</v>
      </c>
      <c r="C65" s="173"/>
      <c r="D65" s="173"/>
      <c r="E65" s="179">
        <v>16000</v>
      </c>
      <c r="F65" s="175">
        <v>16000</v>
      </c>
      <c r="G65" s="175">
        <f t="shared" si="0"/>
        <v>17600</v>
      </c>
      <c r="H65" s="175">
        <v>24000</v>
      </c>
      <c r="L65" s="175">
        <f t="shared" si="8"/>
        <v>15520</v>
      </c>
      <c r="M65" s="175">
        <f t="shared" si="9"/>
        <v>15200</v>
      </c>
      <c r="N65" s="175">
        <f t="shared" si="10"/>
        <v>14400</v>
      </c>
      <c r="O65" s="175">
        <f t="shared" si="11"/>
        <v>13600</v>
      </c>
      <c r="P65" s="175">
        <f t="shared" si="12"/>
        <v>12800</v>
      </c>
    </row>
    <row r="66" spans="1:16" ht="15.75" customHeight="1">
      <c r="A66" s="173"/>
      <c r="B66" s="172" t="s">
        <v>626</v>
      </c>
      <c r="C66" s="171" t="s">
        <v>622</v>
      </c>
      <c r="D66" s="173"/>
      <c r="E66" s="179">
        <v>18000</v>
      </c>
      <c r="F66" s="175">
        <v>18000</v>
      </c>
      <c r="G66" s="175">
        <f t="shared" si="0"/>
        <v>19800</v>
      </c>
      <c r="H66" s="175">
        <v>28000</v>
      </c>
      <c r="L66" s="175">
        <f t="shared" si="8"/>
        <v>17460</v>
      </c>
      <c r="M66" s="175">
        <f t="shared" si="9"/>
        <v>17100</v>
      </c>
      <c r="N66" s="175">
        <f t="shared" si="10"/>
        <v>16200</v>
      </c>
      <c r="O66" s="175">
        <f t="shared" si="11"/>
        <v>15300</v>
      </c>
      <c r="P66" s="175">
        <f t="shared" si="12"/>
        <v>14400</v>
      </c>
    </row>
    <row r="67" spans="1:16" ht="15.75" customHeight="1">
      <c r="A67" s="173"/>
      <c r="B67" s="176"/>
      <c r="C67" s="171" t="s">
        <v>627</v>
      </c>
      <c r="D67" s="173"/>
      <c r="E67" s="179">
        <v>18000</v>
      </c>
      <c r="F67" s="175">
        <v>18000</v>
      </c>
      <c r="G67" s="175">
        <f t="shared" si="0"/>
        <v>19800</v>
      </c>
      <c r="H67" s="175">
        <v>28000</v>
      </c>
      <c r="L67" s="175">
        <f t="shared" si="8"/>
        <v>17460</v>
      </c>
      <c r="M67" s="175">
        <f t="shared" si="9"/>
        <v>17100</v>
      </c>
      <c r="N67" s="175">
        <f t="shared" si="10"/>
        <v>16200</v>
      </c>
      <c r="O67" s="175">
        <f t="shared" si="11"/>
        <v>15300</v>
      </c>
      <c r="P67" s="175">
        <f t="shared" si="12"/>
        <v>14400</v>
      </c>
    </row>
    <row r="68" spans="1:16" ht="15.75" customHeight="1">
      <c r="A68" s="173"/>
      <c r="B68" s="172" t="s">
        <v>628</v>
      </c>
      <c r="C68" s="171" t="s">
        <v>629</v>
      </c>
      <c r="D68" s="173"/>
      <c r="E68" s="174">
        <v>16500</v>
      </c>
      <c r="F68" s="175">
        <v>16500</v>
      </c>
      <c r="G68" s="175">
        <f t="shared" si="0"/>
        <v>18150</v>
      </c>
      <c r="H68" s="175">
        <v>17600</v>
      </c>
      <c r="L68" s="175">
        <f t="shared" si="8"/>
        <v>16005</v>
      </c>
      <c r="M68" s="175">
        <f t="shared" si="9"/>
        <v>15675</v>
      </c>
      <c r="N68" s="175">
        <f t="shared" si="10"/>
        <v>14850</v>
      </c>
      <c r="O68" s="175">
        <f t="shared" si="11"/>
        <v>14025</v>
      </c>
      <c r="P68" s="175">
        <f t="shared" si="12"/>
        <v>13200</v>
      </c>
    </row>
    <row r="69" spans="1:16" ht="15.75" customHeight="1">
      <c r="A69" s="173"/>
      <c r="B69" s="172"/>
      <c r="C69" s="171" t="s">
        <v>630</v>
      </c>
      <c r="D69" s="173"/>
      <c r="E69" s="179"/>
      <c r="F69" s="175">
        <v>17000</v>
      </c>
      <c r="G69" s="175">
        <f t="shared" si="0"/>
        <v>18700</v>
      </c>
      <c r="H69" s="175">
        <v>17600</v>
      </c>
      <c r="L69" s="175"/>
      <c r="M69" s="175">
        <f t="shared" si="9"/>
        <v>16150</v>
      </c>
      <c r="N69" s="175">
        <f t="shared" si="10"/>
        <v>15300</v>
      </c>
      <c r="O69" s="175">
        <f t="shared" si="11"/>
        <v>14450</v>
      </c>
      <c r="P69" s="175">
        <f t="shared" si="12"/>
        <v>13600</v>
      </c>
    </row>
    <row r="70" spans="1:16" ht="15.75" customHeight="1">
      <c r="A70" s="173"/>
      <c r="B70" s="172" t="s">
        <v>631</v>
      </c>
      <c r="C70" s="171" t="s">
        <v>632</v>
      </c>
      <c r="D70" s="173"/>
      <c r="E70" s="179">
        <v>14200</v>
      </c>
      <c r="F70" s="175">
        <v>14200</v>
      </c>
      <c r="G70" s="175">
        <f t="shared" si="0"/>
        <v>15620.000000000002</v>
      </c>
      <c r="H70" s="175">
        <v>16500</v>
      </c>
      <c r="L70" s="175">
        <f t="shared" ref="L70:L71" si="13">SUM(E70*0.97)</f>
        <v>13774</v>
      </c>
      <c r="M70" s="175">
        <f t="shared" si="9"/>
        <v>13490</v>
      </c>
      <c r="N70" s="175">
        <f t="shared" si="10"/>
        <v>12780</v>
      </c>
      <c r="O70" s="175">
        <f t="shared" si="11"/>
        <v>12070</v>
      </c>
      <c r="P70" s="175">
        <f t="shared" si="12"/>
        <v>11360</v>
      </c>
    </row>
    <row r="71" spans="1:16" ht="15.75" customHeight="1">
      <c r="A71" s="173"/>
      <c r="B71" s="172" t="s">
        <v>633</v>
      </c>
      <c r="C71" s="171" t="s">
        <v>634</v>
      </c>
      <c r="D71" s="173"/>
      <c r="E71" s="174">
        <v>32000</v>
      </c>
      <c r="F71" s="175">
        <v>32000</v>
      </c>
      <c r="G71" s="175">
        <f t="shared" si="0"/>
        <v>35200</v>
      </c>
      <c r="H71" s="175">
        <v>35200</v>
      </c>
      <c r="L71" s="175">
        <f t="shared" si="13"/>
        <v>31040</v>
      </c>
      <c r="M71" s="175">
        <f t="shared" si="9"/>
        <v>30400</v>
      </c>
      <c r="N71" s="175">
        <f t="shared" si="10"/>
        <v>28800</v>
      </c>
      <c r="O71" s="175">
        <f t="shared" si="11"/>
        <v>27200</v>
      </c>
      <c r="P71" s="175">
        <f t="shared" si="12"/>
        <v>25600</v>
      </c>
    </row>
    <row r="72" spans="1:16" ht="15.75" customHeight="1">
      <c r="A72" s="173"/>
      <c r="B72" s="172"/>
      <c r="C72" s="171" t="s">
        <v>635</v>
      </c>
      <c r="D72" s="173"/>
      <c r="E72" s="174"/>
      <c r="F72" s="175">
        <v>32500</v>
      </c>
      <c r="G72" s="175">
        <f t="shared" si="0"/>
        <v>35750</v>
      </c>
      <c r="H72" s="175">
        <v>35200</v>
      </c>
      <c r="L72" s="175"/>
      <c r="M72" s="175">
        <f t="shared" si="9"/>
        <v>30875</v>
      </c>
      <c r="N72" s="175">
        <f t="shared" si="10"/>
        <v>29250</v>
      </c>
      <c r="O72" s="175">
        <f t="shared" si="11"/>
        <v>27625</v>
      </c>
      <c r="P72" s="175">
        <f t="shared" si="12"/>
        <v>26000</v>
      </c>
    </row>
    <row r="73" spans="1:16" ht="15.75" customHeight="1">
      <c r="A73" s="173"/>
      <c r="B73" s="172" t="s">
        <v>636</v>
      </c>
      <c r="C73" s="171" t="s">
        <v>622</v>
      </c>
      <c r="D73" s="173"/>
      <c r="E73" s="174">
        <v>54000</v>
      </c>
      <c r="F73" s="175">
        <v>54000</v>
      </c>
      <c r="G73" s="175">
        <f t="shared" si="0"/>
        <v>59400.000000000007</v>
      </c>
      <c r="H73" s="175">
        <v>59500</v>
      </c>
      <c r="L73" s="175">
        <f t="shared" ref="L73:L83" si="14">SUM(E73*0.97)</f>
        <v>52380</v>
      </c>
      <c r="M73" s="175">
        <f t="shared" si="9"/>
        <v>51300</v>
      </c>
      <c r="N73" s="175">
        <f t="shared" si="10"/>
        <v>48600</v>
      </c>
      <c r="O73" s="175">
        <f t="shared" si="11"/>
        <v>45900</v>
      </c>
      <c r="P73" s="175">
        <f t="shared" si="12"/>
        <v>43200</v>
      </c>
    </row>
    <row r="74" spans="1:16" ht="15.75" customHeight="1">
      <c r="A74" s="173"/>
      <c r="B74" s="172" t="s">
        <v>637</v>
      </c>
      <c r="C74" s="173"/>
      <c r="D74" s="173"/>
      <c r="E74" s="174">
        <v>55500</v>
      </c>
      <c r="F74" s="175">
        <v>55500</v>
      </c>
      <c r="G74" s="175">
        <f t="shared" si="0"/>
        <v>61050.000000000007</v>
      </c>
      <c r="H74" s="175">
        <v>58000</v>
      </c>
      <c r="L74" s="175">
        <f t="shared" si="14"/>
        <v>53835</v>
      </c>
      <c r="M74" s="175">
        <f t="shared" si="9"/>
        <v>52725</v>
      </c>
      <c r="N74" s="175">
        <f t="shared" si="10"/>
        <v>49950</v>
      </c>
      <c r="O74" s="175">
        <f t="shared" si="11"/>
        <v>47175</v>
      </c>
      <c r="P74" s="175">
        <f t="shared" si="12"/>
        <v>44400</v>
      </c>
    </row>
    <row r="75" spans="1:16" ht="15.75" customHeight="1">
      <c r="A75" s="171" t="s">
        <v>638</v>
      </c>
      <c r="B75" s="172" t="s">
        <v>639</v>
      </c>
      <c r="C75" s="171" t="s">
        <v>559</v>
      </c>
      <c r="D75" s="173"/>
      <c r="E75" s="179">
        <v>13000</v>
      </c>
      <c r="F75" s="175">
        <v>14000</v>
      </c>
      <c r="G75" s="175">
        <f t="shared" si="0"/>
        <v>15400.000000000002</v>
      </c>
      <c r="H75" s="175">
        <v>17500</v>
      </c>
      <c r="L75" s="175">
        <f t="shared" si="14"/>
        <v>12610</v>
      </c>
      <c r="M75" s="175">
        <f t="shared" si="9"/>
        <v>13300</v>
      </c>
      <c r="N75" s="175">
        <f t="shared" si="10"/>
        <v>12600</v>
      </c>
      <c r="O75" s="175">
        <f t="shared" si="11"/>
        <v>11900</v>
      </c>
      <c r="P75" s="175">
        <f t="shared" si="12"/>
        <v>11200</v>
      </c>
    </row>
    <row r="76" spans="1:16" ht="15.75" customHeight="1">
      <c r="A76" s="173"/>
      <c r="B76" s="176"/>
      <c r="C76" s="171" t="s">
        <v>560</v>
      </c>
      <c r="D76" s="173"/>
      <c r="E76" s="179">
        <v>16000</v>
      </c>
      <c r="F76" s="175">
        <v>17500</v>
      </c>
      <c r="G76" s="175">
        <f t="shared" si="0"/>
        <v>19250</v>
      </c>
      <c r="H76" s="175">
        <v>22000</v>
      </c>
      <c r="L76" s="175">
        <f t="shared" si="14"/>
        <v>15520</v>
      </c>
      <c r="M76" s="175">
        <f t="shared" si="9"/>
        <v>16625</v>
      </c>
      <c r="N76" s="175">
        <f t="shared" si="10"/>
        <v>15750</v>
      </c>
      <c r="O76" s="175">
        <f t="shared" si="11"/>
        <v>14875</v>
      </c>
      <c r="P76" s="175">
        <f t="shared" si="12"/>
        <v>14000</v>
      </c>
    </row>
    <row r="77" spans="1:16" ht="15.75" customHeight="1">
      <c r="A77" s="173"/>
      <c r="B77" s="172" t="s">
        <v>640</v>
      </c>
      <c r="C77" s="171" t="s">
        <v>559</v>
      </c>
      <c r="D77" s="173"/>
      <c r="E77" s="174">
        <v>15400</v>
      </c>
      <c r="F77" s="175">
        <v>15400</v>
      </c>
      <c r="G77" s="175">
        <f t="shared" si="0"/>
        <v>16940</v>
      </c>
      <c r="H77" s="175">
        <v>19500</v>
      </c>
      <c r="L77" s="175">
        <f t="shared" si="14"/>
        <v>14938</v>
      </c>
      <c r="M77" s="175">
        <f t="shared" si="9"/>
        <v>14630</v>
      </c>
      <c r="N77" s="175">
        <f t="shared" si="10"/>
        <v>13860</v>
      </c>
      <c r="O77" s="175">
        <f t="shared" si="11"/>
        <v>13090</v>
      </c>
      <c r="P77" s="175">
        <f t="shared" si="12"/>
        <v>12320</v>
      </c>
    </row>
    <row r="78" spans="1:16" ht="15.75" customHeight="1">
      <c r="A78" s="173"/>
      <c r="B78" s="176"/>
      <c r="C78" s="171" t="s">
        <v>560</v>
      </c>
      <c r="D78" s="173"/>
      <c r="E78" s="174">
        <v>16500</v>
      </c>
      <c r="F78" s="175">
        <v>16500</v>
      </c>
      <c r="G78" s="175">
        <f t="shared" si="0"/>
        <v>18150</v>
      </c>
      <c r="H78" s="175">
        <v>21000</v>
      </c>
      <c r="L78" s="175">
        <f t="shared" si="14"/>
        <v>16005</v>
      </c>
      <c r="M78" s="175">
        <f t="shared" si="9"/>
        <v>15675</v>
      </c>
      <c r="N78" s="175">
        <f t="shared" si="10"/>
        <v>14850</v>
      </c>
      <c r="O78" s="175">
        <f t="shared" si="11"/>
        <v>14025</v>
      </c>
      <c r="P78" s="175">
        <f t="shared" si="12"/>
        <v>13200</v>
      </c>
    </row>
    <row r="79" spans="1:16" ht="15.75" customHeight="1">
      <c r="A79" s="173"/>
      <c r="B79" s="172" t="s">
        <v>641</v>
      </c>
      <c r="C79" s="173"/>
      <c r="D79" s="173"/>
      <c r="E79" s="174">
        <v>20000</v>
      </c>
      <c r="F79" s="175">
        <v>20000</v>
      </c>
      <c r="G79" s="175">
        <f t="shared" si="0"/>
        <v>22000</v>
      </c>
      <c r="H79" s="175">
        <v>25000</v>
      </c>
      <c r="L79" s="175">
        <f t="shared" si="14"/>
        <v>19400</v>
      </c>
      <c r="M79" s="175">
        <f t="shared" si="9"/>
        <v>19000</v>
      </c>
      <c r="N79" s="175">
        <f t="shared" si="10"/>
        <v>18000</v>
      </c>
      <c r="O79" s="175">
        <f t="shared" si="11"/>
        <v>17000</v>
      </c>
      <c r="P79" s="175">
        <f t="shared" si="12"/>
        <v>16000</v>
      </c>
    </row>
    <row r="80" spans="1:16" ht="15.75" customHeight="1">
      <c r="A80" s="173"/>
      <c r="B80" s="172" t="s">
        <v>642</v>
      </c>
      <c r="C80" s="171" t="s">
        <v>622</v>
      </c>
      <c r="D80" s="173"/>
      <c r="E80" s="174">
        <v>18000</v>
      </c>
      <c r="F80" s="175">
        <v>18000</v>
      </c>
      <c r="G80" s="175">
        <f t="shared" si="0"/>
        <v>19800</v>
      </c>
      <c r="H80" s="175">
        <v>22500</v>
      </c>
      <c r="L80" s="175">
        <f t="shared" si="14"/>
        <v>17460</v>
      </c>
      <c r="M80" s="175">
        <f t="shared" si="9"/>
        <v>17100</v>
      </c>
      <c r="N80" s="175">
        <f t="shared" si="10"/>
        <v>16200</v>
      </c>
      <c r="O80" s="175">
        <f t="shared" si="11"/>
        <v>15300</v>
      </c>
      <c r="P80" s="175">
        <f t="shared" si="12"/>
        <v>14400</v>
      </c>
    </row>
    <row r="81" spans="1:16" ht="15.75" customHeight="1">
      <c r="A81" s="173"/>
      <c r="B81" s="172" t="s">
        <v>643</v>
      </c>
      <c r="C81" s="171" t="s">
        <v>622</v>
      </c>
      <c r="D81" s="173"/>
      <c r="E81" s="174">
        <v>23500</v>
      </c>
      <c r="F81" s="175">
        <v>23500</v>
      </c>
      <c r="G81" s="175">
        <f t="shared" si="0"/>
        <v>25850.000000000004</v>
      </c>
      <c r="H81" s="175">
        <v>28000</v>
      </c>
      <c r="L81" s="175">
        <f t="shared" si="14"/>
        <v>22795</v>
      </c>
      <c r="M81" s="175">
        <f t="shared" si="9"/>
        <v>22325</v>
      </c>
      <c r="N81" s="175">
        <f t="shared" si="10"/>
        <v>21150</v>
      </c>
      <c r="O81" s="175">
        <f t="shared" si="11"/>
        <v>19975</v>
      </c>
      <c r="P81" s="175">
        <f t="shared" si="12"/>
        <v>18800</v>
      </c>
    </row>
    <row r="82" spans="1:16" ht="15.75" customHeight="1">
      <c r="A82" s="171" t="s">
        <v>644</v>
      </c>
      <c r="B82" s="172" t="s">
        <v>645</v>
      </c>
      <c r="C82" s="171" t="s">
        <v>627</v>
      </c>
      <c r="D82" s="173"/>
      <c r="E82" s="174">
        <v>16500</v>
      </c>
      <c r="F82" s="175">
        <v>18200</v>
      </c>
      <c r="G82" s="175">
        <f t="shared" si="0"/>
        <v>20020</v>
      </c>
      <c r="H82" s="175">
        <v>20500</v>
      </c>
      <c r="L82" s="175">
        <f t="shared" si="14"/>
        <v>16005</v>
      </c>
      <c r="M82" s="175">
        <f t="shared" si="9"/>
        <v>17290</v>
      </c>
      <c r="N82" s="175">
        <f t="shared" si="10"/>
        <v>16380</v>
      </c>
      <c r="O82" s="175">
        <f t="shared" si="11"/>
        <v>15470</v>
      </c>
      <c r="P82" s="175">
        <f t="shared" si="12"/>
        <v>14560</v>
      </c>
    </row>
    <row r="83" spans="1:16" ht="15.75" customHeight="1">
      <c r="A83" s="173"/>
      <c r="B83" s="172" t="s">
        <v>646</v>
      </c>
      <c r="C83" s="171" t="s">
        <v>627</v>
      </c>
      <c r="D83" s="173"/>
      <c r="E83" s="174">
        <v>20000</v>
      </c>
      <c r="F83" s="175">
        <v>22300</v>
      </c>
      <c r="G83" s="175">
        <f t="shared" si="0"/>
        <v>24530.000000000004</v>
      </c>
      <c r="H83" s="175">
        <v>25500</v>
      </c>
      <c r="L83" s="175">
        <f t="shared" si="14"/>
        <v>19400</v>
      </c>
      <c r="M83" s="175">
        <f t="shared" si="9"/>
        <v>21185</v>
      </c>
      <c r="N83" s="175">
        <f t="shared" si="10"/>
        <v>20070</v>
      </c>
      <c r="O83" s="175">
        <f t="shared" si="11"/>
        <v>18955</v>
      </c>
      <c r="P83" s="175">
        <f t="shared" si="12"/>
        <v>17840</v>
      </c>
    </row>
    <row r="84" spans="1:16" ht="15.75" customHeight="1">
      <c r="A84" s="171" t="s">
        <v>647</v>
      </c>
      <c r="B84" s="172" t="s">
        <v>648</v>
      </c>
      <c r="C84" s="171" t="s">
        <v>649</v>
      </c>
      <c r="D84" s="173"/>
      <c r="E84" s="174">
        <v>200</v>
      </c>
      <c r="F84" s="175">
        <v>200</v>
      </c>
      <c r="G84" s="175">
        <f t="shared" si="0"/>
        <v>220.00000000000003</v>
      </c>
      <c r="H84" s="175">
        <v>250</v>
      </c>
      <c r="I84" s="3">
        <v>10</v>
      </c>
      <c r="J84" s="3">
        <v>1</v>
      </c>
      <c r="L84" s="175"/>
      <c r="M84" s="175"/>
      <c r="N84" s="175"/>
      <c r="O84" s="175"/>
      <c r="P84" s="175"/>
    </row>
    <row r="85" spans="1:16" ht="15.75" customHeight="1">
      <c r="A85" s="173"/>
      <c r="B85" s="176"/>
      <c r="C85" s="171" t="s">
        <v>650</v>
      </c>
      <c r="D85" s="173"/>
      <c r="E85" s="174">
        <v>240</v>
      </c>
      <c r="F85" s="175">
        <v>250</v>
      </c>
      <c r="G85" s="175">
        <f t="shared" si="0"/>
        <v>275</v>
      </c>
      <c r="H85" s="175">
        <v>300</v>
      </c>
      <c r="I85" s="3">
        <v>10</v>
      </c>
      <c r="J85" s="3">
        <v>1</v>
      </c>
      <c r="L85" s="175"/>
      <c r="M85" s="175"/>
      <c r="N85" s="175"/>
      <c r="O85" s="175"/>
      <c r="P85" s="175"/>
    </row>
    <row r="86" spans="1:16" ht="15.75" customHeight="1">
      <c r="A86" s="173"/>
      <c r="B86" s="176"/>
      <c r="C86" s="171" t="s">
        <v>651</v>
      </c>
      <c r="D86" s="173"/>
      <c r="E86" s="174">
        <v>290</v>
      </c>
      <c r="F86" s="175">
        <v>300</v>
      </c>
      <c r="G86" s="175">
        <f t="shared" si="0"/>
        <v>330</v>
      </c>
      <c r="H86" s="175">
        <v>350</v>
      </c>
      <c r="I86" s="3">
        <v>10</v>
      </c>
      <c r="J86" s="3">
        <v>1</v>
      </c>
      <c r="L86" s="175"/>
      <c r="M86" s="175"/>
      <c r="N86" s="175"/>
      <c r="O86" s="175"/>
      <c r="P86" s="175"/>
    </row>
    <row r="87" spans="1:16" ht="15.75" customHeight="1">
      <c r="B87" s="171" t="s">
        <v>652</v>
      </c>
      <c r="E87" s="177">
        <v>500</v>
      </c>
      <c r="F87" s="175"/>
      <c r="G87" s="175">
        <f t="shared" si="0"/>
        <v>0</v>
      </c>
      <c r="H87" s="175"/>
      <c r="L87" s="175"/>
      <c r="M87" s="175"/>
      <c r="N87" s="175"/>
      <c r="O87" s="175"/>
      <c r="P87" s="175"/>
    </row>
    <row r="88" spans="1:16" ht="15.75" customHeight="1"/>
    <row r="89" spans="1:16" ht="15.75" customHeight="1"/>
    <row r="90" spans="1:16" ht="15.75" customHeight="1"/>
    <row r="91" spans="1:16" ht="15.75" customHeight="1"/>
    <row r="92" spans="1:16" ht="15.75" customHeight="1"/>
    <row r="93" spans="1:16" ht="15.75" customHeight="1"/>
    <row r="94" spans="1:16" ht="15.75" customHeight="1"/>
    <row r="95" spans="1:16" ht="15.75" customHeight="1"/>
    <row r="96" spans="1:1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L1:P1"/>
  </mergeCells>
  <phoneticPr fontId="3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14</vt:i4>
      </vt:variant>
    </vt:vector>
  </HeadingPairs>
  <TitlesOfParts>
    <vt:vector size="14" baseType="lpstr">
      <vt:lpstr>사이즈별 판걸이수</vt:lpstr>
      <vt:lpstr>디지털출력비</vt:lpstr>
      <vt:lpstr>후가공_박</vt:lpstr>
      <vt:lpstr>후가공</vt:lpstr>
      <vt:lpstr>명함</vt:lpstr>
      <vt:lpstr>후가공_박명함</vt:lpstr>
      <vt:lpstr>옵션결합상품</vt:lpstr>
      <vt:lpstr>제본</vt:lpstr>
      <vt:lpstr>스티커</vt:lpstr>
      <vt:lpstr>아크릴</vt:lpstr>
      <vt:lpstr>포스터(실사)</vt:lpstr>
      <vt:lpstr>사인</vt:lpstr>
      <vt:lpstr>(임시)포카가격비교</vt:lpstr>
      <vt:lpstr>파우치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Office</cp:lastModifiedBy>
  <dcterms:modified xsi:type="dcterms:W3CDTF">2026-03-09T07:49:14Z</dcterms:modified>
</cp:coreProperties>
</file>